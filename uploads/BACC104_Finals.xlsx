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576" tabRatio="600" firstSheet="0" activeTab="0" autoFilterDateGrouping="1"/>
  </bookViews>
  <sheets>
    <sheet xmlns:r="http://schemas.openxmlformats.org/officeDocument/2006/relationships" name="Quiz Questions" sheetId="1" state="visible" r:id="rId1"/>
  </sheets>
  <definedNames/>
  <calcPr calcId="191029" fullCalcOnLoad="1"/>
</workbook>
</file>

<file path=xl/styles.xml><?xml version="1.0" encoding="utf-8"?>
<styleSheet xmlns="http://schemas.openxmlformats.org/spreadsheetml/2006/main">
  <numFmts count="0"/>
  <fonts count="2">
    <font>
      <name val="Calibri"/>
      <family val="2"/>
      <color theme="1"/>
      <sz val="11"/>
      <scheme val="minor"/>
    </font>
    <font>
      <name val="Calibri"/>
      <b val="1"/>
      <sz val="11"/>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center"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33"/>
  <sheetViews>
    <sheetView tabSelected="1" topLeftCell="E119" workbookViewId="0">
      <selection activeCell="F130" sqref="F130"/>
    </sheetView>
  </sheetViews>
  <sheetFormatPr baseColWidth="8" defaultRowHeight="14.4"/>
  <cols>
    <col width="61.109375" bestFit="1" customWidth="1" min="14" max="14"/>
  </cols>
  <sheetData>
    <row r="1" ht="43.2" customHeight="1">
      <c r="A1" t="inlineStr">
        <is>
          <t>Subject Code</t>
        </is>
      </c>
      <c r="B1" t="inlineStr">
        <is>
          <t>Description</t>
        </is>
      </c>
      <c r="C1" t="inlineStr">
        <is>
          <t>Exam Period</t>
        </is>
      </c>
      <c r="D1" t="inlineStr">
        <is>
          <t>Learning Outcome</t>
        </is>
      </c>
      <c r="E1" t="inlineStr">
        <is>
          <t>Topic</t>
        </is>
      </c>
      <c r="F1" t="inlineStr">
        <is>
          <t>QUESTION</t>
        </is>
      </c>
      <c r="G1" t="inlineStr">
        <is>
          <t>Type of Question</t>
        </is>
      </c>
      <c r="H1" t="inlineStr">
        <is>
          <t>Taxonomy</t>
        </is>
      </c>
      <c r="I1" t="inlineStr">
        <is>
          <t>Choice A</t>
        </is>
      </c>
      <c r="J1" t="inlineStr">
        <is>
          <t>Choice B</t>
        </is>
      </c>
      <c r="K1" t="inlineStr">
        <is>
          <t>Choice C</t>
        </is>
      </c>
      <c r="L1" t="inlineStr">
        <is>
          <t>Choice D</t>
        </is>
      </c>
      <c r="M1" t="inlineStr">
        <is>
          <t>Answer</t>
        </is>
      </c>
      <c r="N1" t="inlineStr">
        <is>
          <t>Correct answer in Words</t>
        </is>
      </c>
      <c r="O1" s="1" t="inlineStr">
        <is>
          <t>Timer (Seconds)</t>
        </is>
      </c>
    </row>
    <row r="2">
      <c r="C2" t="inlineStr">
        <is>
          <t>Midterm</t>
        </is>
      </c>
      <c r="D2" t="inlineStr">
        <is>
          <t>Define the self-reference criterion in international marketing</t>
        </is>
      </c>
      <c r="E2" t="inlineStr">
        <is>
          <t>Week 09 — International Marketing and Global Branding</t>
        </is>
      </c>
      <c r="F2" t="inlineStr">
        <is>
          <t>What is the self-reference criterion in international marketing?</t>
        </is>
      </c>
      <c r="G2" t="inlineStr">
        <is>
          <t>Multiple Choice</t>
        </is>
      </c>
      <c r="H2" t="inlineStr">
        <is>
          <t>Remembering</t>
        </is>
      </c>
      <c r="I2" t="inlineStr">
        <is>
          <t>Comparison of market opportunities</t>
        </is>
      </c>
      <c r="J2" t="inlineStr">
        <is>
          <t>Tendency to standardize products worldwide</t>
        </is>
      </c>
      <c r="K2" t="inlineStr">
        <is>
          <t>Process of adapting to local cultures</t>
        </is>
      </c>
      <c r="L2" t="inlineStr">
        <is>
          <t>Unconscious reliance on own cultural values</t>
        </is>
      </c>
      <c r="M2" t="inlineStr">
        <is>
          <t>D</t>
        </is>
      </c>
      <c r="N2" t="inlineStr">
        <is>
          <t>Unconscious reliance on own cultural values</t>
        </is>
      </c>
      <c r="O2">
        <f>ROUND(SUM(Q2:U2)*1.3,0)</f>
        <v/>
      </c>
      <c r="Q2">
        <f>LEN(TRIM(F2))-LEN(SUBSTITUTE(TRIM(F2)," ",""))+1</f>
        <v/>
      </c>
      <c r="R2">
        <f>LEN(TRIM(I2))-LEN(SUBSTITUTE(TRIM(I2)," ",""))+1</f>
        <v/>
      </c>
      <c r="S2">
        <f>LEN(TRIM(J2))-LEN(SUBSTITUTE(TRIM(J2)," ",""))+1</f>
        <v/>
      </c>
      <c r="T2">
        <f>LEN(TRIM(K2))-LEN(SUBSTITUTE(TRIM(K2)," ",""))+1</f>
        <v/>
      </c>
      <c r="U2">
        <f>LEN(TRIM(L2))-LEN(SUBSTITUTE(TRIM(L2)," ",""))+1</f>
        <v/>
      </c>
    </row>
    <row r="3">
      <c r="C3" t="inlineStr">
        <is>
          <t>Midterm</t>
        </is>
      </c>
      <c r="D3" t="inlineStr">
        <is>
          <t>Explain the concept of transfer pricing in multinational enterprises</t>
        </is>
      </c>
      <c r="E3" t="inlineStr">
        <is>
          <t>Week 09 — International Marketing and Global Branding</t>
        </is>
      </c>
      <c r="F3" t="inlineStr">
        <is>
          <t>Which of the following best describes transfer pricing in a multinational enterprise?</t>
        </is>
      </c>
      <c r="G3" t="inlineStr">
        <is>
          <t>Multiple Choice</t>
        </is>
      </c>
      <c r="H3" t="inlineStr">
        <is>
          <t>Remembering</t>
        </is>
      </c>
      <c r="I3" t="inlineStr">
        <is>
          <t>Setting prices for inter-subsidiary transactions</t>
        </is>
      </c>
      <c r="J3" t="inlineStr">
        <is>
          <t>Setting final consumer prices globally</t>
        </is>
      </c>
      <c r="K3" t="inlineStr">
        <is>
          <t>Pricing based on competitor actions</t>
        </is>
      </c>
      <c r="L3" t="inlineStr">
        <is>
          <t>Adapting prices for local markets</t>
        </is>
      </c>
      <c r="M3" t="inlineStr">
        <is>
          <t>A</t>
        </is>
      </c>
      <c r="N3" t="inlineStr">
        <is>
          <t>Setting prices for inter-subsidiary transactions</t>
        </is>
      </c>
      <c r="O3">
        <f>ROUND(SUM(Q3:U3)*1.3,0)</f>
        <v/>
      </c>
      <c r="Q3">
        <f>LEN(TRIM(F3))-LEN(SUBSTITUTE(TRIM(F3)," ",""))+1</f>
        <v/>
      </c>
      <c r="R3">
        <f>LEN(TRIM(I3))-LEN(SUBSTITUTE(TRIM(I3)," ",""))+1</f>
        <v/>
      </c>
      <c r="S3">
        <f>LEN(TRIM(J3))-LEN(SUBSTITUTE(TRIM(J3)," ",""))+1</f>
        <v/>
      </c>
      <c r="T3">
        <f>LEN(TRIM(K3))-LEN(SUBSTITUTE(TRIM(K3)," ",""))+1</f>
        <v/>
      </c>
      <c r="U3">
        <f>LEN(TRIM(L3))-LEN(SUBSTITUTE(TRIM(L3)," ",""))+1</f>
        <v/>
      </c>
    </row>
    <row r="4">
      <c r="C4" t="inlineStr">
        <is>
          <t>Midterm</t>
        </is>
      </c>
      <c r="D4" t="inlineStr">
        <is>
          <t>Explain why distribution channels are longer in developing markets</t>
        </is>
      </c>
      <c r="E4" t="inlineStr">
        <is>
          <t>Week 09 — International Marketing and Global Branding</t>
        </is>
      </c>
      <c r="F4" t="inlineStr">
        <is>
          <t>Why do distribution channels tend to be longer in developing markets?</t>
        </is>
      </c>
      <c r="G4" t="inlineStr">
        <is>
          <t>Multiple Choice</t>
        </is>
      </c>
      <c r="H4" t="inlineStr">
        <is>
          <t>Understanding</t>
        </is>
      </c>
      <c r="I4" t="inlineStr">
        <is>
          <t>Consumers prefer buying from producers directly</t>
        </is>
      </c>
      <c r="J4" t="inlineStr">
        <is>
          <t>Logistics technology is less available</t>
        </is>
      </c>
      <c r="K4" t="inlineStr">
        <is>
          <t>Governments mandate longer distribution channels</t>
        </is>
      </c>
      <c r="L4" t="inlineStr">
        <is>
          <t>Fragmented retail requires more intermediaries</t>
        </is>
      </c>
      <c r="M4" t="inlineStr">
        <is>
          <t>D</t>
        </is>
      </c>
      <c r="N4" t="inlineStr">
        <is>
          <t>Fragmented retail requires more intermediaries</t>
        </is>
      </c>
      <c r="O4">
        <f>ROUND(SUM(Q4:U4)*1.3,0)</f>
        <v/>
      </c>
      <c r="Q4">
        <f>LEN(TRIM(F4))-LEN(SUBSTITUTE(TRIM(F4)," ",""))+1</f>
        <v/>
      </c>
      <c r="R4">
        <f>LEN(TRIM(I4))-LEN(SUBSTITUTE(TRIM(I4)," ",""))+1</f>
        <v/>
      </c>
      <c r="S4">
        <f>LEN(TRIM(J4))-LEN(SUBSTITUTE(TRIM(J4)," ",""))+1</f>
        <v/>
      </c>
      <c r="T4">
        <f>LEN(TRIM(K4))-LEN(SUBSTITUTE(TRIM(K4)," ",""))+1</f>
        <v/>
      </c>
      <c r="U4">
        <f>LEN(TRIM(L4))-LEN(SUBSTITUTE(TRIM(L4)," ",""))+1</f>
        <v/>
      </c>
    </row>
    <row r="5">
      <c r="C5" t="inlineStr">
        <is>
          <t>Midterm</t>
        </is>
      </c>
      <c r="D5" t="inlineStr">
        <is>
          <t>Identify common challenges in international market research</t>
        </is>
      </c>
      <c r="E5" t="inlineStr">
        <is>
          <t>Week 09 — International Marketing and Global Branding</t>
        </is>
      </c>
      <c r="F5" t="inlineStr">
        <is>
          <t>Which of the following is a known challenge in conducting international market research?</t>
        </is>
      </c>
      <c r="G5" t="inlineStr">
        <is>
          <t>Multiple Choice</t>
        </is>
      </c>
      <c r="H5" t="inlineStr">
        <is>
          <t>Understanding</t>
        </is>
      </c>
      <c r="I5" t="inlineStr">
        <is>
          <t>Translation barriers are minimal with proper tools</t>
        </is>
      </c>
      <c r="J5" t="inlineStr">
        <is>
          <t>Consumers are often reluctant to participate</t>
        </is>
      </c>
      <c r="K5" t="inlineStr">
        <is>
          <t>Data reliability varies across countries</t>
        </is>
      </c>
      <c r="L5" t="inlineStr">
        <is>
          <t>Government secondary data is typically reliable</t>
        </is>
      </c>
      <c r="M5" t="inlineStr">
        <is>
          <t>C</t>
        </is>
      </c>
      <c r="N5" t="inlineStr">
        <is>
          <t>Data reliability varies across countries</t>
        </is>
      </c>
      <c r="O5">
        <f>ROUND(SUM(Q5:U5)*1.3,0)</f>
        <v/>
      </c>
      <c r="Q5">
        <f>LEN(TRIM(F5))-LEN(SUBSTITUTE(TRIM(F5)," ",""))+1</f>
        <v/>
      </c>
      <c r="R5">
        <f>LEN(TRIM(I5))-LEN(SUBSTITUTE(TRIM(I5)," ",""))+1</f>
        <v/>
      </c>
      <c r="S5">
        <f>LEN(TRIM(J5))-LEN(SUBSTITUTE(TRIM(J5)," ",""))+1</f>
        <v/>
      </c>
      <c r="T5">
        <f>LEN(TRIM(K5))-LEN(SUBSTITUTE(TRIM(K5)," ",""))+1</f>
        <v/>
      </c>
      <c r="U5">
        <f>LEN(TRIM(L5))-LEN(SUBSTITUTE(TRIM(L5)," ",""))+1</f>
        <v/>
      </c>
    </row>
    <row r="6">
      <c r="C6" t="inlineStr">
        <is>
          <t>Midterm</t>
        </is>
      </c>
      <c r="D6" t="inlineStr">
        <is>
          <t>Apply distribution channel strategies to fragmented markets</t>
        </is>
      </c>
      <c r="E6" t="inlineStr">
        <is>
          <t>Week 09 — International Marketing and Global Branding</t>
        </is>
      </c>
      <c r="F6" t="inlineStr">
        <is>
          <t>A consumer goods firm enters a country where 70% of retail sales occur through small family-run stores. Which distribution approach is most likely to maximize coverage while managing costs?</t>
        </is>
      </c>
      <c r="G6" t="inlineStr">
        <is>
          <t>Multiple Choice</t>
        </is>
      </c>
      <c r="H6" t="inlineStr">
        <is>
          <t>Applying</t>
        </is>
      </c>
      <c r="I6" t="inlineStr">
        <is>
          <t>Company-owned stores</t>
        </is>
      </c>
      <c r="J6" t="inlineStr">
        <is>
          <t>Franchising to large chains</t>
        </is>
      </c>
      <c r="K6" t="inlineStr">
        <is>
          <t>Exclusive online sales</t>
        </is>
      </c>
      <c r="L6" t="inlineStr">
        <is>
          <t>Independent local distributors</t>
        </is>
      </c>
      <c r="M6" t="inlineStr">
        <is>
          <t>D</t>
        </is>
      </c>
      <c r="N6" t="inlineStr">
        <is>
          <t>Independent local distributors</t>
        </is>
      </c>
      <c r="O6">
        <f>ROUND(SUM(Q6:U6)*1.3,0)</f>
        <v/>
      </c>
      <c r="Q6">
        <f>LEN(TRIM(F6))-LEN(SUBSTITUTE(TRIM(F6)," ",""))+1</f>
        <v/>
      </c>
      <c r="R6">
        <f>LEN(TRIM(I6))-LEN(SUBSTITUTE(TRIM(I6)," ",""))+1</f>
        <v/>
      </c>
      <c r="S6">
        <f>LEN(TRIM(J6))-LEN(SUBSTITUTE(TRIM(J6)," ",""))+1</f>
        <v/>
      </c>
      <c r="T6">
        <f>LEN(TRIM(K6))-LEN(SUBSTITUTE(TRIM(K6)," ",""))+1</f>
        <v/>
      </c>
      <c r="U6">
        <f>LEN(TRIM(L6))-LEN(SUBSTITUTE(TRIM(L6)," ",""))+1</f>
        <v/>
      </c>
    </row>
    <row r="7">
      <c r="C7" t="inlineStr">
        <is>
          <t>Midterm</t>
        </is>
      </c>
      <c r="D7" t="inlineStr">
        <is>
          <t>Select appropriate promotion strategy based on market conditions</t>
        </is>
      </c>
      <c r="E7" t="inlineStr">
        <is>
          <t>Week 09 — International Marketing and Global Branding</t>
        </is>
      </c>
      <c r="F7" t="inlineStr">
        <is>
          <t>A company enters a market where mass media is fragmented and literacy levels are low. Which promotion strategy should it primarily use?</t>
        </is>
      </c>
      <c r="G7" t="inlineStr">
        <is>
          <t>Multiple Choice</t>
        </is>
      </c>
      <c r="H7" t="inlineStr">
        <is>
          <t>Applying</t>
        </is>
      </c>
      <c r="I7" t="inlineStr">
        <is>
          <t>Pull strategy with mass advertising</t>
        </is>
      </c>
      <c r="J7" t="inlineStr">
        <is>
          <t>Push strategy with trade promotions</t>
        </is>
      </c>
      <c r="K7" t="inlineStr">
        <is>
          <t>Digital advertising campaigns</t>
        </is>
      </c>
      <c r="L7" t="inlineStr">
        <is>
          <t>Global unified promotion</t>
        </is>
      </c>
      <c r="M7" t="inlineStr">
        <is>
          <t>B</t>
        </is>
      </c>
      <c r="N7" t="inlineStr">
        <is>
          <t>Push strategy with trade promotions</t>
        </is>
      </c>
      <c r="O7">
        <f>ROUND(SUM(Q7:U7)*1.3,0)</f>
        <v/>
      </c>
      <c r="Q7">
        <f>LEN(TRIM(F7))-LEN(SUBSTITUTE(TRIM(F7)," ",""))+1</f>
        <v/>
      </c>
      <c r="R7">
        <f>LEN(TRIM(I7))-LEN(SUBSTITUTE(TRIM(I7)," ",""))+1</f>
        <v/>
      </c>
      <c r="S7">
        <f>LEN(TRIM(J7))-LEN(SUBSTITUTE(TRIM(J7)," ",""))+1</f>
        <v/>
      </c>
      <c r="T7">
        <f>LEN(TRIM(K7))-LEN(SUBSTITUTE(TRIM(K7)," ",""))+1</f>
        <v/>
      </c>
      <c r="U7">
        <f>LEN(TRIM(L7))-LEN(SUBSTITUTE(TRIM(L7)," ",""))+1</f>
        <v/>
      </c>
    </row>
    <row r="8">
      <c r="C8" t="inlineStr">
        <is>
          <t>Midterm</t>
        </is>
      </c>
      <c r="D8" t="inlineStr">
        <is>
          <t>Apply localization strategies from successful examples</t>
        </is>
      </c>
      <c r="E8" t="inlineStr">
        <is>
          <t>Week 09 — International Marketing and Global Branding</t>
        </is>
      </c>
      <c r="F8" t="inlineStr">
        <is>
          <t>Following the example of CHAGEE in the Philippines, a Thai beverage brand entering Vietnam should initially focus on which of the following?</t>
        </is>
      </c>
      <c r="G8" t="inlineStr">
        <is>
          <t>Multiple Choice</t>
        </is>
      </c>
      <c r="H8" t="inlineStr">
        <is>
          <t>Applying</t>
        </is>
      </c>
      <c r="I8" t="inlineStr">
        <is>
          <t>Maintain exact global product formula</t>
        </is>
      </c>
      <c r="J8" t="inlineStr">
        <is>
          <t>Compete solely on lower prices</t>
        </is>
      </c>
      <c r="K8" t="inlineStr">
        <is>
          <t>Adapt flavors with local influencers</t>
        </is>
      </c>
      <c r="L8" t="inlineStr">
        <is>
          <t>Use standardized global advertising</t>
        </is>
      </c>
      <c r="M8" t="inlineStr">
        <is>
          <t>C</t>
        </is>
      </c>
      <c r="N8" t="inlineStr">
        <is>
          <t>Adapt flavors with local influencers</t>
        </is>
      </c>
      <c r="O8">
        <f>ROUND(SUM(Q8:U8)*1.3,0)</f>
        <v/>
      </c>
      <c r="Q8">
        <f>LEN(TRIM(F8))-LEN(SUBSTITUTE(TRIM(F8)," ",""))+1</f>
        <v/>
      </c>
      <c r="R8">
        <f>LEN(TRIM(I8))-LEN(SUBSTITUTE(TRIM(I8)," ",""))+1</f>
        <v/>
      </c>
      <c r="S8">
        <f>LEN(TRIM(J8))-LEN(SUBSTITUTE(TRIM(J8)," ",""))+1</f>
        <v/>
      </c>
      <c r="T8">
        <f>LEN(TRIM(K8))-LEN(SUBSTITUTE(TRIM(K8)," ",""))+1</f>
        <v/>
      </c>
      <c r="U8">
        <f>LEN(TRIM(L8))-LEN(SUBSTITUTE(TRIM(L8)," ",""))+1</f>
        <v/>
      </c>
    </row>
    <row r="9">
      <c r="C9" t="inlineStr">
        <is>
          <t>Midterm</t>
        </is>
      </c>
      <c r="D9" t="inlineStr">
        <is>
          <t>Analyze how firms overcome negative country-of-origin perceptions</t>
        </is>
      </c>
      <c r="E9" t="inlineStr">
        <is>
          <t>Week 09 — International Marketing and Global Branding</t>
        </is>
      </c>
      <c r="F9" t="inlineStr">
        <is>
          <t>What does the international success of Jollibee illustrate about the country-of-origin effect?</t>
        </is>
      </c>
      <c r="G9" t="inlineStr">
        <is>
          <t>Multiple Choice</t>
        </is>
      </c>
      <c r="H9" t="inlineStr">
        <is>
          <t>Analyzing</t>
        </is>
      </c>
      <c r="I9" t="inlineStr">
        <is>
          <t>Country-of-origin effects mainly apply to luxury products</t>
        </is>
      </c>
      <c r="J9" t="inlineStr">
        <is>
          <t>Unique positioning overcomes country stereotypes</t>
        </is>
      </c>
      <c r="K9" t="inlineStr">
        <is>
          <t>Country-of-origin effect is irrelevant for food</t>
        </is>
      </c>
      <c r="L9" t="inlineStr">
        <is>
          <t>Lower pricing is key to market entry</t>
        </is>
      </c>
      <c r="M9" t="inlineStr">
        <is>
          <t>B</t>
        </is>
      </c>
      <c r="N9" t="inlineStr">
        <is>
          <t>Unique positioning overcomes country stereotypes</t>
        </is>
      </c>
      <c r="O9">
        <f>ROUND(SUM(Q9:U9)*1.3,0)</f>
        <v/>
      </c>
      <c r="Q9">
        <f>LEN(TRIM(F9))-LEN(SUBSTITUTE(TRIM(F9)," ",""))+1</f>
        <v/>
      </c>
      <c r="R9">
        <f>LEN(TRIM(I9))-LEN(SUBSTITUTE(TRIM(I9)," ",""))+1</f>
        <v/>
      </c>
      <c r="S9">
        <f>LEN(TRIM(J9))-LEN(SUBSTITUTE(TRIM(J9)," ",""))+1</f>
        <v/>
      </c>
      <c r="T9">
        <f>LEN(TRIM(K9))-LEN(SUBSTITUTE(TRIM(K9)," ",""))+1</f>
        <v/>
      </c>
      <c r="U9">
        <f>LEN(TRIM(L9))-LEN(SUBSTITUTE(TRIM(L9)," ",""))+1</f>
        <v/>
      </c>
    </row>
    <row r="10">
      <c r="C10" t="inlineStr">
        <is>
          <t>Midterm</t>
        </is>
      </c>
      <c r="D10" t="inlineStr">
        <is>
          <t>Analyze the characteristics of a glocalization strategy</t>
        </is>
      </c>
      <c r="E10" t="inlineStr">
        <is>
          <t>Week 09 — International Marketing and Global Branding</t>
        </is>
      </c>
      <c r="F10" t="inlineStr">
        <is>
          <t>Which of the following best characterizes a glocalization or hybrid strategy in international marketing?</t>
        </is>
      </c>
      <c r="G10" t="inlineStr">
        <is>
          <t>Multiple Choice</t>
        </is>
      </c>
      <c r="H10" t="inlineStr">
        <is>
          <t>Analyzing</t>
        </is>
      </c>
      <c r="I10" t="inlineStr">
        <is>
          <t>Identical marketing mix everywhere</t>
        </is>
      </c>
      <c r="J10" t="inlineStr">
        <is>
          <t>Standardized core with local adaptation</t>
        </is>
      </c>
      <c r="K10" t="inlineStr">
        <is>
          <t>Separate brand names per country</t>
        </is>
      </c>
      <c r="L10" t="inlineStr">
        <is>
          <t>Fully decentralized marketing decisions</t>
        </is>
      </c>
      <c r="M10" t="inlineStr">
        <is>
          <t>B</t>
        </is>
      </c>
      <c r="N10" t="inlineStr">
        <is>
          <t>Standardized core with local adaptation</t>
        </is>
      </c>
      <c r="O10">
        <f>ROUND(SUM(Q10:U10)*1.3,0)</f>
        <v/>
      </c>
      <c r="Q10">
        <f>LEN(TRIM(F10))-LEN(SUBSTITUTE(TRIM(F10)," ",""))+1</f>
        <v/>
      </c>
      <c r="R10">
        <f>LEN(TRIM(I10))-LEN(SUBSTITUTE(TRIM(I10)," ",""))+1</f>
        <v/>
      </c>
      <c r="S10">
        <f>LEN(TRIM(J10))-LEN(SUBSTITUTE(TRIM(J10)," ",""))+1</f>
        <v/>
      </c>
      <c r="T10">
        <f>LEN(TRIM(K10))-LEN(SUBSTITUTE(TRIM(K10)," ",""))+1</f>
        <v/>
      </c>
      <c r="U10">
        <f>LEN(TRIM(L10))-LEN(SUBSTITUTE(TRIM(L10)," ",""))+1</f>
        <v/>
      </c>
    </row>
    <row r="11">
      <c r="C11" t="inlineStr">
        <is>
          <t>Midterm</t>
        </is>
      </c>
      <c r="D11" t="inlineStr">
        <is>
          <t>Recall key facts about Jollibee's international expansion in Vietnam.</t>
        </is>
      </c>
      <c r="E11" t="inlineStr">
        <is>
          <t>Week 09 — International Marketing and Global Branding</t>
        </is>
      </c>
      <c r="F11" t="inlineStr">
        <is>
          <t>By 2025, as part of its aggressive international expansion, how many stores had Jollibee established in Vietnam?</t>
        </is>
      </c>
      <c r="G11" t="inlineStr">
        <is>
          <t>Multiple Choice</t>
        </is>
      </c>
      <c r="H11" t="inlineStr">
        <is>
          <t>Remembering</t>
        </is>
      </c>
      <c r="I11" t="inlineStr">
        <is>
          <t>Over 250 stores across more than fifty provinces.</t>
        </is>
      </c>
      <c r="J11" t="inlineStr">
        <is>
          <t>33 stores across several Vietnamese provinces</t>
        </is>
      </c>
      <c r="K11" t="inlineStr">
        <is>
          <t>17 stores concentrated in Ho Chi Minh City</t>
        </is>
      </c>
      <c r="L11" t="inlineStr">
        <is>
          <t>Over 300 stores across all of Southeast Asia.</t>
        </is>
      </c>
      <c r="M11" t="inlineStr">
        <is>
          <t>A</t>
        </is>
      </c>
      <c r="N11" t="inlineStr">
        <is>
          <t>Over 250 stores across more than fifty provinces.</t>
        </is>
      </c>
      <c r="O11">
        <f>ROUND(SUM(Q11:U11)*1.3,0)</f>
        <v/>
      </c>
      <c r="Q11">
        <f>LEN(TRIM(F11))-LEN(SUBSTITUTE(TRIM(F11)," ",""))+1</f>
        <v/>
      </c>
      <c r="R11">
        <f>LEN(TRIM(I11))-LEN(SUBSTITUTE(TRIM(I11)," ",""))+1</f>
        <v/>
      </c>
      <c r="S11">
        <f>LEN(TRIM(J11))-LEN(SUBSTITUTE(TRIM(J11)," ",""))+1</f>
        <v/>
      </c>
      <c r="T11">
        <f>LEN(TRIM(K11))-LEN(SUBSTITUTE(TRIM(K11)," ",""))+1</f>
        <v/>
      </c>
      <c r="U11">
        <f>LEN(TRIM(L11))-LEN(SUBSTITUTE(TRIM(L11)," ",""))+1</f>
        <v/>
      </c>
    </row>
    <row r="12">
      <c r="C12" t="inlineStr">
        <is>
          <t>Midterm</t>
        </is>
      </c>
      <c r="D12" t="inlineStr">
        <is>
          <t>Explain the key difference between international and domestic marketing.</t>
        </is>
      </c>
      <c r="E12" t="inlineStr">
        <is>
          <t>Week 09 — International Marketing and Global Branding</t>
        </is>
      </c>
      <c r="F12" t="inlineStr">
        <is>
          <t>Many marketers assume the core marketing functions are the same everywhere, yet one crucial element differentiates international from domestic marketing. What is that element?</t>
        </is>
      </c>
      <c r="G12" t="inlineStr">
        <is>
          <t>Multiple Choice</t>
        </is>
      </c>
      <c r="H12" t="inlineStr">
        <is>
          <t>Understanding</t>
        </is>
      </c>
      <c r="I12" t="inlineStr">
        <is>
          <t>The use of digital technologies to reach global audiences.</t>
        </is>
      </c>
      <c r="J12" t="inlineStr">
        <is>
          <t>The scale of operations and budget allocation.</t>
        </is>
      </c>
      <c r="K12" t="inlineStr">
        <is>
          <t>The environment in which marketing functions are executed.</t>
        </is>
      </c>
      <c r="L12" t="inlineStr">
        <is>
          <t>The type of products being marketed across borders.</t>
        </is>
      </c>
      <c r="M12" t="inlineStr">
        <is>
          <t>C</t>
        </is>
      </c>
      <c r="N12" t="inlineStr">
        <is>
          <t>The environment in which marketing functions are executed.</t>
        </is>
      </c>
      <c r="O12">
        <f>ROUND(SUM(Q12:U12)*1.3,0)</f>
        <v/>
      </c>
      <c r="Q12">
        <f>LEN(TRIM(F12))-LEN(SUBSTITUTE(TRIM(F12)," ",""))+1</f>
        <v/>
      </c>
      <c r="R12">
        <f>LEN(TRIM(I12))-LEN(SUBSTITUTE(TRIM(I12)," ",""))+1</f>
        <v/>
      </c>
      <c r="S12">
        <f>LEN(TRIM(J12))-LEN(SUBSTITUTE(TRIM(J12)," ",""))+1</f>
        <v/>
      </c>
      <c r="T12">
        <f>LEN(TRIM(K12))-LEN(SUBSTITUTE(TRIM(K12)," ",""))+1</f>
        <v/>
      </c>
      <c r="U12">
        <f>LEN(TRIM(L12))-LEN(SUBSTITUTE(TRIM(L12)," ",""))+1</f>
        <v/>
      </c>
    </row>
    <row r="13">
      <c r="C13" t="inlineStr">
        <is>
          <t>Midterm</t>
        </is>
      </c>
      <c r="D13" t="inlineStr">
        <is>
          <t>Apply Jollibee's international marketing strategy to a new market entry scenario.</t>
        </is>
      </c>
      <c r="E13" t="inlineStr">
        <is>
          <t>Week 09 — International Marketing and Global Branding</t>
        </is>
      </c>
      <c r="F13" t="inlineStr">
        <is>
          <t>A Philippine snack food company plans to enter the United States market. If it follows the same international model that made Jollibee successful, which initial approach should it take?</t>
        </is>
      </c>
      <c r="G13" t="inlineStr">
        <is>
          <t>Multiple Choice</t>
        </is>
      </c>
      <c r="H13" t="inlineStr">
        <is>
          <t>Applying</t>
        </is>
      </c>
      <c r="I13" t="inlineStr">
        <is>
          <t>Focus initially on Filipino diaspora communities with authentic flavors.</t>
        </is>
      </c>
      <c r="J13" t="inlineStr">
        <is>
          <t>Launch a national advertising campaign targeting all US consumers.</t>
        </is>
      </c>
      <c r="K13" t="inlineStr">
        <is>
          <t>Reformulate products to taste like popular American snack foods.</t>
        </is>
      </c>
      <c r="L13" t="inlineStr">
        <is>
          <t>Open a flagship store in Manhattan to appeal to mainstream buyers.</t>
        </is>
      </c>
      <c r="M13" t="inlineStr">
        <is>
          <t>A</t>
        </is>
      </c>
      <c r="N13" t="inlineStr">
        <is>
          <t>Focus initially on Filipino diaspora communities with authentic flavors.</t>
        </is>
      </c>
      <c r="O13">
        <f>ROUND(SUM(Q13:U13)*1.3,0)</f>
        <v/>
      </c>
      <c r="Q13">
        <f>LEN(TRIM(F13))-LEN(SUBSTITUTE(TRIM(F13)," ",""))+1</f>
        <v/>
      </c>
      <c r="R13">
        <f>LEN(TRIM(I13))-LEN(SUBSTITUTE(TRIM(I13)," ",""))+1</f>
        <v/>
      </c>
      <c r="S13">
        <f>LEN(TRIM(J13))-LEN(SUBSTITUTE(TRIM(J13)," ",""))+1</f>
        <v/>
      </c>
      <c r="T13">
        <f>LEN(TRIM(K13))-LEN(SUBSTITUTE(TRIM(K13)," ",""))+1</f>
        <v/>
      </c>
      <c r="U13">
        <f>LEN(TRIM(L13))-LEN(SUBSTITUTE(TRIM(L13)," ",""))+1</f>
        <v/>
      </c>
    </row>
    <row r="14">
      <c r="C14" t="inlineStr">
        <is>
          <t>Midterm</t>
        </is>
      </c>
      <c r="D14" t="inlineStr">
        <is>
          <t>Analyze the factors that drive the standardization versus localization decision.</t>
        </is>
      </c>
      <c r="E14" t="inlineStr">
        <is>
          <t>Week 09 — International Marketing and Global Branding</t>
        </is>
      </c>
      <c r="F14" t="inlineStr">
        <is>
          <t>A firm selling industrial chemicals to multiple countries must decide whether to standardize or localize. In the contingency framework, which factor most strongly supports a standardization strategy?</t>
        </is>
      </c>
      <c r="G14" t="inlineStr">
        <is>
          <t>Multiple Choice</t>
        </is>
      </c>
      <c r="H14" t="inlineStr">
        <is>
          <t>Analyzing</t>
        </is>
      </c>
      <c r="I14" t="inlineStr">
        <is>
          <t>The degree of cultural embeddedness of the product.</t>
        </is>
      </c>
      <c r="J14" t="inlineStr">
        <is>
          <t>The existence of globally oriented consumer segments.</t>
        </is>
      </c>
      <c r="K14" t="inlineStr">
        <is>
          <t>The product category: industrial chemicals are highly standardizable.</t>
        </is>
      </c>
      <c r="L14" t="inlineStr">
        <is>
          <t>The regulatory environment in each target market.</t>
        </is>
      </c>
      <c r="M14" t="inlineStr">
        <is>
          <t>C</t>
        </is>
      </c>
      <c r="N14" t="inlineStr">
        <is>
          <t>The product category: industrial chemicals are highly standardizable.</t>
        </is>
      </c>
      <c r="O14">
        <f>ROUND(SUM(Q14:U14)*1.3,0)</f>
        <v/>
      </c>
      <c r="Q14">
        <f>LEN(TRIM(F14))-LEN(SUBSTITUTE(TRIM(F14)," ",""))+1</f>
        <v/>
      </c>
      <c r="R14">
        <f>LEN(TRIM(I14))-LEN(SUBSTITUTE(TRIM(I14)," ",""))+1</f>
        <v/>
      </c>
      <c r="S14">
        <f>LEN(TRIM(J14))-LEN(SUBSTITUTE(TRIM(J14)," ",""))+1</f>
        <v/>
      </c>
      <c r="T14">
        <f>LEN(TRIM(K14))-LEN(SUBSTITUTE(TRIM(K14)," ",""))+1</f>
        <v/>
      </c>
      <c r="U14">
        <f>LEN(TRIM(L14))-LEN(SUBSTITUTE(TRIM(L14)," ",""))+1</f>
        <v/>
      </c>
    </row>
    <row r="15">
      <c r="C15" t="inlineStr">
        <is>
          <t>Midterm</t>
        </is>
      </c>
      <c r="D15" t="inlineStr">
        <is>
          <t>Evaluate the best use of country-of-origin advantage in international marketing.</t>
        </is>
      </c>
      <c r="E15" t="inlineStr">
        <is>
          <t>Week 09 — International Marketing and Global Branding</t>
        </is>
      </c>
      <c r="F15" t="inlineStr">
        <is>
          <t>A Swiss luxury watch brand, renowned for precision, is entering a market where consumers strongly prefer domestic products. To best leverage its country-of-origin advantage, which strategic emphasis should it prioritize?</t>
        </is>
      </c>
      <c r="G15" t="inlineStr">
        <is>
          <t>Multiple Choice</t>
        </is>
      </c>
      <c r="H15" t="inlineStr">
        <is>
          <t>Evaluating</t>
        </is>
      </c>
      <c r="I15" t="inlineStr">
        <is>
          <t>Emphasize Swiss quality and precision in marketing communications.</t>
        </is>
      </c>
      <c r="J15" t="inlineStr">
        <is>
          <t>Adapt the watch design to match local aesthetic preferences.</t>
        </is>
      </c>
      <c r="K15" t="inlineStr">
        <is>
          <t>Offer an extended limited warranty to lower perceived risk.</t>
        </is>
      </c>
      <c r="L15" t="inlineStr">
        <is>
          <t>Collaborate with local celebrities for brand endorsements.</t>
        </is>
      </c>
      <c r="M15" t="inlineStr">
        <is>
          <t>A</t>
        </is>
      </c>
      <c r="N15" t="inlineStr">
        <is>
          <t>Emphasize Swiss quality and precision in marketing communications.</t>
        </is>
      </c>
      <c r="O15">
        <f>ROUND(SUM(Q15:U15)*1.3,0)</f>
        <v/>
      </c>
      <c r="Q15">
        <f>LEN(TRIM(F15))-LEN(SUBSTITUTE(TRIM(F15)," ",""))+1</f>
        <v/>
      </c>
      <c r="R15">
        <f>LEN(TRIM(I15))-LEN(SUBSTITUTE(TRIM(I15)," ",""))+1</f>
        <v/>
      </c>
      <c r="S15">
        <f>LEN(TRIM(J15))-LEN(SUBSTITUTE(TRIM(J15)," ",""))+1</f>
        <v/>
      </c>
      <c r="T15">
        <f>LEN(TRIM(K15))-LEN(SUBSTITUTE(TRIM(K15)," ",""))+1</f>
        <v/>
      </c>
      <c r="U15">
        <f>LEN(TRIM(L15))-LEN(SUBSTITUTE(TRIM(L15)," ",""))+1</f>
        <v/>
      </c>
    </row>
    <row r="16">
      <c r="C16" t="inlineStr">
        <is>
          <t>Midterm</t>
        </is>
      </c>
      <c r="D16" t="inlineStr">
        <is>
          <t>Explain the fundamentals of game theory and its relevance to international business decisions</t>
        </is>
      </c>
      <c r="E16" t="inlineStr">
        <is>
          <t>Week 10 — Game Theory in International Business</t>
        </is>
      </c>
      <c r="F16" t="inlineStr">
        <is>
          <t>What three components are defined as the essential elements of any game in game theory?</t>
        </is>
      </c>
      <c r="G16" t="inlineStr">
        <is>
          <t>Multiple Choice</t>
        </is>
      </c>
      <c r="H16" t="inlineStr">
        <is>
          <t>Remembering</t>
        </is>
      </c>
      <c r="I16" t="inlineStr">
        <is>
          <t>Players, rules, payoffs</t>
        </is>
      </c>
      <c r="J16" t="inlineStr">
        <is>
          <t>Moves, information, outcomes</t>
        </is>
      </c>
      <c r="K16" t="inlineStr">
        <is>
          <t>Players, strategies, payoffs</t>
        </is>
      </c>
      <c r="L16" t="inlineStr">
        <is>
          <t>Competitors, actions, results</t>
        </is>
      </c>
      <c r="M16" t="inlineStr">
        <is>
          <t>C</t>
        </is>
      </c>
      <c r="N16" t="inlineStr">
        <is>
          <t>Players, strategies, payoffs</t>
        </is>
      </c>
      <c r="O16">
        <f>ROUND(SUM(Q16:U16)*1.3,0)</f>
        <v/>
      </c>
      <c r="Q16">
        <f>LEN(TRIM(F16))-LEN(SUBSTITUTE(TRIM(F16)," ",""))+1</f>
        <v/>
      </c>
      <c r="R16">
        <f>LEN(TRIM(I16))-LEN(SUBSTITUTE(TRIM(I16)," ",""))+1</f>
        <v/>
      </c>
      <c r="S16">
        <f>LEN(TRIM(J16))-LEN(SUBSTITUTE(TRIM(J16)," ",""))+1</f>
        <v/>
      </c>
      <c r="T16">
        <f>LEN(TRIM(K16))-LEN(SUBSTITUTE(TRIM(K16)," ",""))+1</f>
        <v/>
      </c>
      <c r="U16">
        <f>LEN(TRIM(L16))-LEN(SUBSTITUTE(TRIM(L16)," ",""))+1</f>
        <v/>
      </c>
    </row>
    <row r="17">
      <c r="C17" t="inlineStr">
        <is>
          <t>Midterm</t>
        </is>
      </c>
      <c r="D17" t="inlineStr">
        <is>
          <t>Explain the fundamentals of game theory and its relevance to international business decisions</t>
        </is>
      </c>
      <c r="E17" t="inlineStr">
        <is>
          <t>Week 10 — Game Theory in International Business</t>
        </is>
      </c>
      <c r="F17" t="inlineStr">
        <is>
          <t>In the Prisoner's Dilemma, why does the individually rational choice lead to a collectively inferior outcome?</t>
        </is>
      </c>
      <c r="G17" t="inlineStr">
        <is>
          <t>Multiple Choice</t>
        </is>
      </c>
      <c r="H17" t="inlineStr">
        <is>
          <t>Understanding</t>
        </is>
      </c>
      <c r="I17" t="inlineStr">
        <is>
          <t>Both players have a dominant strategy to confess</t>
        </is>
      </c>
      <c r="J17" t="inlineStr">
        <is>
          <t>Players are not allowed to communicate with each other</t>
        </is>
      </c>
      <c r="K17" t="inlineStr">
        <is>
          <t>Mutual cooperation yields a lower payoff than defection</t>
        </is>
      </c>
      <c r="L17" t="inlineStr">
        <is>
          <t>The game is a zero-sum contest between the players</t>
        </is>
      </c>
      <c r="M17" t="inlineStr">
        <is>
          <t>A</t>
        </is>
      </c>
      <c r="N17" t="inlineStr">
        <is>
          <t>Both players have a dominant strategy to confess</t>
        </is>
      </c>
      <c r="O17">
        <f>ROUND(SUM(Q17:U17)*1.3,0)</f>
        <v/>
      </c>
      <c r="Q17">
        <f>LEN(TRIM(F17))-LEN(SUBSTITUTE(TRIM(F17)," ",""))+1</f>
        <v/>
      </c>
      <c r="R17">
        <f>LEN(TRIM(I17))-LEN(SUBSTITUTE(TRIM(I17)," ",""))+1</f>
        <v/>
      </c>
      <c r="S17">
        <f>LEN(TRIM(J17))-LEN(SUBSTITUTE(TRIM(J17)," ",""))+1</f>
        <v/>
      </c>
      <c r="T17">
        <f>LEN(TRIM(K17))-LEN(SUBSTITUTE(TRIM(K17)," ",""))+1</f>
        <v/>
      </c>
      <c r="U17">
        <f>LEN(TRIM(L17))-LEN(SUBSTITUTE(TRIM(L17)," ",""))+1</f>
        <v/>
      </c>
    </row>
    <row r="18">
      <c r="C18" t="inlineStr">
        <is>
          <t>Midterm</t>
        </is>
      </c>
      <c r="D18" t="inlineStr">
        <is>
          <t>Explain the fundamentals of game theory and its relevance to international business decisions</t>
        </is>
      </c>
      <c r="E18" t="inlineStr">
        <is>
          <t>Week 10 — Game Theory in International Business</t>
        </is>
      </c>
      <c r="F18" t="inlineStr">
        <is>
          <t>Two Philippine firms are considering entering a foreign market. If both enter, both lose money; if only one enters, that firm earns high profits. How many Nash equilibria does this game have?</t>
        </is>
      </c>
      <c r="G18" t="inlineStr">
        <is>
          <t>Multiple Choice</t>
        </is>
      </c>
      <c r="H18" t="inlineStr">
        <is>
          <t>Applying</t>
        </is>
      </c>
      <c r="I18" t="inlineStr">
        <is>
          <t>Zero</t>
        </is>
      </c>
      <c r="J18" t="inlineStr">
        <is>
          <t>One</t>
        </is>
      </c>
      <c r="K18" t="inlineStr">
        <is>
          <t>Three</t>
        </is>
      </c>
      <c r="L18" t="inlineStr">
        <is>
          <t>Two</t>
        </is>
      </c>
      <c r="M18" t="inlineStr">
        <is>
          <t>D</t>
        </is>
      </c>
      <c r="N18" t="inlineStr">
        <is>
          <t>Two</t>
        </is>
      </c>
      <c r="O18">
        <f>ROUND(SUM(Q18:U18)*1.3,0)</f>
        <v/>
      </c>
      <c r="Q18">
        <f>LEN(TRIM(F18))-LEN(SUBSTITUTE(TRIM(F18)," ",""))+1</f>
        <v/>
      </c>
      <c r="R18">
        <f>LEN(TRIM(I18))-LEN(SUBSTITUTE(TRIM(I18)," ",""))+1</f>
        <v/>
      </c>
      <c r="S18">
        <f>LEN(TRIM(J18))-LEN(SUBSTITUTE(TRIM(J18)," ",""))+1</f>
        <v/>
      </c>
      <c r="T18">
        <f>LEN(TRIM(K18))-LEN(SUBSTITUTE(TRIM(K18)," ",""))+1</f>
        <v/>
      </c>
      <c r="U18">
        <f>LEN(TRIM(L18))-LEN(SUBSTITUTE(TRIM(L18)," ",""))+1</f>
        <v/>
      </c>
    </row>
    <row r="19">
      <c r="C19" t="inlineStr">
        <is>
          <t>Midterm</t>
        </is>
      </c>
      <c r="D19" t="inlineStr">
        <is>
          <t>Explain the fundamentals of game theory and its relevance to international business decisions</t>
        </is>
      </c>
      <c r="E19" t="inlineStr">
        <is>
          <t>Week 10 — Game Theory in International Business</t>
        </is>
      </c>
      <c r="F19" t="inlineStr">
        <is>
          <t>In a sequential entry game, what method is used to determine the optimal strategy for the first mover?</t>
        </is>
      </c>
      <c r="G19" t="inlineStr">
        <is>
          <t>Multiple Choice</t>
        </is>
      </c>
      <c r="H19" t="inlineStr">
        <is>
          <t>Applying</t>
        </is>
      </c>
      <c r="I19" t="inlineStr">
        <is>
          <t>Nash equilibrium analysis</t>
        </is>
      </c>
      <c r="J19" t="inlineStr">
        <is>
          <t>Dominant strategy identification</t>
        </is>
      </c>
      <c r="K19" t="inlineStr">
        <is>
          <t>Backward induction</t>
        </is>
      </c>
      <c r="L19" t="inlineStr">
        <is>
          <t>Payoff matrix minimization</t>
        </is>
      </c>
      <c r="M19" t="inlineStr">
        <is>
          <t>C</t>
        </is>
      </c>
      <c r="N19" t="inlineStr">
        <is>
          <t>Backward induction</t>
        </is>
      </c>
      <c r="O19">
        <f>ROUND(SUM(Q19:U19)*1.3,0)</f>
        <v/>
      </c>
      <c r="Q19">
        <f>LEN(TRIM(F19))-LEN(SUBSTITUTE(TRIM(F19)," ",""))+1</f>
        <v/>
      </c>
      <c r="R19">
        <f>LEN(TRIM(I19))-LEN(SUBSTITUTE(TRIM(I19)," ",""))+1</f>
        <v/>
      </c>
      <c r="S19">
        <f>LEN(TRIM(J19))-LEN(SUBSTITUTE(TRIM(J19)," ",""))+1</f>
        <v/>
      </c>
      <c r="T19">
        <f>LEN(TRIM(K19))-LEN(SUBSTITUTE(TRIM(K19)," ",""))+1</f>
        <v/>
      </c>
      <c r="U19">
        <f>LEN(TRIM(L19))-LEN(SUBSTITUTE(TRIM(L19)," ",""))+1</f>
        <v/>
      </c>
    </row>
    <row r="20">
      <c r="C20" t="inlineStr">
        <is>
          <t>Midterm</t>
        </is>
      </c>
      <c r="D20" t="inlineStr">
        <is>
          <t>Explain the fundamentals of game theory and its relevance to international business decisions</t>
        </is>
      </c>
      <c r="E20" t="inlineStr">
        <is>
          <t>Week 10 — Game Theory in International Business</t>
        </is>
      </c>
      <c r="F20" t="inlineStr">
        <is>
          <t>What must the entrant believe for an incumbent's excess capacity to be an effective entry deterrent?</t>
        </is>
      </c>
      <c r="G20" t="inlineStr">
        <is>
          <t>Multiple Choice</t>
        </is>
      </c>
      <c r="H20" t="inlineStr">
        <is>
          <t>Applying</t>
        </is>
      </c>
      <c r="I20" t="inlineStr">
        <is>
          <t>The incumbent will use the capacity to accommodate the entrant</t>
        </is>
      </c>
      <c r="J20" t="inlineStr">
        <is>
          <t>The incumbent will exit the market after entry</t>
        </is>
      </c>
      <c r="K20" t="inlineStr">
        <is>
          <t>The incumbent is committed to flooding the market if entry occurs</t>
        </is>
      </c>
      <c r="L20" t="inlineStr">
        <is>
          <t>The excess capacity is intended for export markets only</t>
        </is>
      </c>
      <c r="M20" t="inlineStr">
        <is>
          <t>C</t>
        </is>
      </c>
      <c r="N20" t="inlineStr">
        <is>
          <t>The incumbent is committed to flooding the market if entry occurs</t>
        </is>
      </c>
      <c r="O20">
        <f>ROUND(SUM(Q20:U20)*1.3,0)</f>
        <v/>
      </c>
      <c r="Q20">
        <f>LEN(TRIM(F20))-LEN(SUBSTITUTE(TRIM(F20)," ",""))+1</f>
        <v/>
      </c>
      <c r="R20">
        <f>LEN(TRIM(I20))-LEN(SUBSTITUTE(TRIM(I20)," ",""))+1</f>
        <v/>
      </c>
      <c r="S20">
        <f>LEN(TRIM(J20))-LEN(SUBSTITUTE(TRIM(J20)," ",""))+1</f>
        <v/>
      </c>
      <c r="T20">
        <f>LEN(TRIM(K20))-LEN(SUBSTITUTE(TRIM(K20)," ",""))+1</f>
        <v/>
      </c>
      <c r="U20">
        <f>LEN(TRIM(L20))-LEN(SUBSTITUTE(TRIM(L20)," ",""))+1</f>
        <v/>
      </c>
    </row>
    <row r="21">
      <c r="C21" t="inlineStr">
        <is>
          <t>Midterm</t>
        </is>
      </c>
      <c r="D21" t="inlineStr">
        <is>
          <t>Explain the fundamentals of game theory and its relevance to international business decisions</t>
        </is>
      </c>
      <c r="E21" t="inlineStr">
        <is>
          <t>Week 10 — Game Theory in International Business</t>
        </is>
      </c>
      <c r="F21" t="inlineStr">
        <is>
          <t>Why did PLDT and Globe maintain stable pricing for decades in the Philippine telecommunications duopoly?</t>
        </is>
      </c>
      <c r="G21" t="inlineStr">
        <is>
          <t>Multiple Choice</t>
        </is>
      </c>
      <c r="H21" t="inlineStr">
        <is>
          <t>Analyzing</t>
        </is>
      </c>
      <c r="I21" t="inlineStr">
        <is>
          <t>They were legally required to maintain fixed prices</t>
        </is>
      </c>
      <c r="J21" t="inlineStr">
        <is>
          <t>They lacked the infrastructure to compete on price</t>
        </is>
      </c>
      <c r="K21" t="inlineStr">
        <is>
          <t>They had a formal collusion agreement approved by the government</t>
        </is>
      </c>
      <c r="L21" t="inlineStr">
        <is>
          <t>Aggressive price cuts would trigger retaliation and reduce industry profits</t>
        </is>
      </c>
      <c r="M21" t="inlineStr">
        <is>
          <t>D</t>
        </is>
      </c>
      <c r="N21" t="inlineStr">
        <is>
          <t>Aggressive price cuts would trigger retaliation and reduce industry profits</t>
        </is>
      </c>
      <c r="O21">
        <f>ROUND(SUM(Q21:U21)*1.3,0)</f>
        <v/>
      </c>
      <c r="Q21">
        <f>LEN(TRIM(F21))-LEN(SUBSTITUTE(TRIM(F21)," ",""))+1</f>
        <v/>
      </c>
      <c r="R21">
        <f>LEN(TRIM(I21))-LEN(SUBSTITUTE(TRIM(I21)," ",""))+1</f>
        <v/>
      </c>
      <c r="S21">
        <f>LEN(TRIM(J21))-LEN(SUBSTITUTE(TRIM(J21)," ",""))+1</f>
        <v/>
      </c>
      <c r="T21">
        <f>LEN(TRIM(K21))-LEN(SUBSTITUTE(TRIM(K21)," ",""))+1</f>
        <v/>
      </c>
      <c r="U21">
        <f>LEN(TRIM(L21))-LEN(SUBSTITUTE(TRIM(L21)," ",""))+1</f>
        <v/>
      </c>
    </row>
    <row r="22">
      <c r="C22" t="inlineStr">
        <is>
          <t>Midterm</t>
        </is>
      </c>
      <c r="D22" t="inlineStr">
        <is>
          <t>Explain the fundamentals of game theory and its relevance to international business decisions</t>
        </is>
      </c>
      <c r="E22" t="inlineStr">
        <is>
          <t>Week 10 — Game Theory in International Business</t>
        </is>
      </c>
      <c r="F22" t="inlineStr">
        <is>
          <t>What strategy was identified by Robert Axelrod's computer tournament as enabling cooperation in an iterated Prisoner's Dilemma?</t>
        </is>
      </c>
      <c r="G22" t="inlineStr">
        <is>
          <t>Multiple Choice</t>
        </is>
      </c>
      <c r="H22" t="inlineStr">
        <is>
          <t>Remembering</t>
        </is>
      </c>
      <c r="I22" t="inlineStr">
        <is>
          <t>Tit-for-tat</t>
        </is>
      </c>
      <c r="J22" t="inlineStr">
        <is>
          <t>Always defect</t>
        </is>
      </c>
      <c r="K22" t="inlineStr">
        <is>
          <t>Random choice</t>
        </is>
      </c>
      <c r="L22" t="inlineStr">
        <is>
          <t>Grim trigger</t>
        </is>
      </c>
      <c r="M22" t="inlineStr">
        <is>
          <t>A</t>
        </is>
      </c>
      <c r="N22" t="inlineStr">
        <is>
          <t>Tit-for-tat</t>
        </is>
      </c>
      <c r="O22">
        <f>ROUND(SUM(Q22:U22)*1.3,0)</f>
        <v/>
      </c>
      <c r="Q22">
        <f>LEN(TRIM(F22))-LEN(SUBSTITUTE(TRIM(F22)," ",""))+1</f>
        <v/>
      </c>
      <c r="R22">
        <f>LEN(TRIM(I22))-LEN(SUBSTITUTE(TRIM(I22)," ",""))+1</f>
        <v/>
      </c>
      <c r="S22">
        <f>LEN(TRIM(J22))-LEN(SUBSTITUTE(TRIM(J22)," ",""))+1</f>
        <v/>
      </c>
      <c r="T22">
        <f>LEN(TRIM(K22))-LEN(SUBSTITUTE(TRIM(K22)," ",""))+1</f>
        <v/>
      </c>
      <c r="U22">
        <f>LEN(TRIM(L22))-LEN(SUBSTITUTE(TRIM(L22)," ",""))+1</f>
        <v/>
      </c>
    </row>
    <row r="23">
      <c r="C23" t="inlineStr">
        <is>
          <t>Midterm</t>
        </is>
      </c>
      <c r="D23" t="inlineStr">
        <is>
          <t>Explain the fundamentals of game theory and its relevance to international business decisions</t>
        </is>
      </c>
      <c r="E23" t="inlineStr">
        <is>
          <t>Week 10 — Game Theory in International Business</t>
        </is>
      </c>
      <c r="F23" t="inlineStr">
        <is>
          <t>A foreign firm is considering entering the Philippine beer market, which San Miguel dominates. San Miguel's distribution network reaches even remote sari-sari stores. In game theory terms, what type of strategy does this distribution network represent?</t>
        </is>
      </c>
      <c r="G23" t="inlineStr">
        <is>
          <t>Multiple Choice</t>
        </is>
      </c>
      <c r="H23" t="inlineStr">
        <is>
          <t>Analyzing</t>
        </is>
      </c>
      <c r="I23" t="inlineStr">
        <is>
          <t>Entry accommodation that permits new competitors to enter</t>
        </is>
      </c>
      <c r="J23" t="inlineStr">
        <is>
          <t>Limit pricing that deters entry through sustained low prices</t>
        </is>
      </c>
      <c r="K23" t="inlineStr">
        <is>
          <t>Predatory pricing that eliminates rivals via temporary cuts</t>
        </is>
      </c>
      <c r="L23" t="inlineStr">
        <is>
          <t>Credible entry deterrence through sunk investment</t>
        </is>
      </c>
      <c r="M23" t="inlineStr">
        <is>
          <t>D</t>
        </is>
      </c>
      <c r="N23" t="inlineStr">
        <is>
          <t>Credible entry deterrence through sunk investment</t>
        </is>
      </c>
      <c r="O23">
        <f>ROUND(SUM(Q23:U23)*1.3,0)</f>
        <v/>
      </c>
      <c r="Q23">
        <f>LEN(TRIM(F23))-LEN(SUBSTITUTE(TRIM(F23)," ",""))+1</f>
        <v/>
      </c>
      <c r="R23">
        <f>LEN(TRIM(I23))-LEN(SUBSTITUTE(TRIM(I23)," ",""))+1</f>
        <v/>
      </c>
      <c r="S23">
        <f>LEN(TRIM(J23))-LEN(SUBSTITUTE(TRIM(J23)," ",""))+1</f>
        <v/>
      </c>
      <c r="T23">
        <f>LEN(TRIM(K23))-LEN(SUBSTITUTE(TRIM(K23)," ",""))+1</f>
        <v/>
      </c>
      <c r="U23">
        <f>LEN(TRIM(L23))-LEN(SUBSTITUTE(TRIM(L23)," ",""))+1</f>
        <v/>
      </c>
    </row>
    <row r="24">
      <c r="C24" t="inlineStr">
        <is>
          <t>Midterm</t>
        </is>
      </c>
      <c r="D24" t="inlineStr">
        <is>
          <t>Identify the essential elements that define a game in game theory.</t>
        </is>
      </c>
      <c r="E24" t="inlineStr">
        <is>
          <t>Week 10 — Game Theory in International Business</t>
        </is>
      </c>
      <c r="F24" t="inlineStr">
        <is>
          <t>Game theory models strategic interactions by specifying three essential elements: the parties involved, the actions they can take, and the outcomes for each combination of actions. What are these three elements called in standard game theory terminology?</t>
        </is>
      </c>
      <c r="G24" t="inlineStr">
        <is>
          <t>Multiple Choice</t>
        </is>
      </c>
      <c r="H24" t="inlineStr">
        <is>
          <t>Remembering</t>
        </is>
      </c>
      <c r="I24" t="inlineStr">
        <is>
          <t>Players, payoffs, and information</t>
        </is>
      </c>
      <c r="J24" t="inlineStr">
        <is>
          <t>Players, equilibria, and cooperation</t>
        </is>
      </c>
      <c r="K24" t="inlineStr">
        <is>
          <t>Strategies, payoffs, and equilibrium</t>
        </is>
      </c>
      <c r="L24" t="inlineStr">
        <is>
          <t>Players, strategies, and payoffs</t>
        </is>
      </c>
      <c r="M24" t="inlineStr">
        <is>
          <t>D</t>
        </is>
      </c>
      <c r="N24" t="inlineStr">
        <is>
          <t>Players, strategies, and payoffs</t>
        </is>
      </c>
      <c r="O24">
        <f>ROUND(SUM(Q24:U24)*1.3,0)</f>
        <v/>
      </c>
      <c r="Q24">
        <f>LEN(TRIM(F24))-LEN(SUBSTITUTE(TRIM(F24)," ",""))+1</f>
        <v/>
      </c>
      <c r="R24">
        <f>LEN(TRIM(I24))-LEN(SUBSTITUTE(TRIM(I24)," ",""))+1</f>
        <v/>
      </c>
      <c r="S24">
        <f>LEN(TRIM(J24))-LEN(SUBSTITUTE(TRIM(J24)," ",""))+1</f>
        <v/>
      </c>
      <c r="T24">
        <f>LEN(TRIM(K24))-LEN(SUBSTITUTE(TRIM(K24)," ",""))+1</f>
        <v/>
      </c>
      <c r="U24">
        <f>LEN(TRIM(L24))-LEN(SUBSTITUTE(TRIM(L24)," ",""))+1</f>
        <v/>
      </c>
    </row>
    <row r="25">
      <c r="C25" t="inlineStr">
        <is>
          <t>Midterm</t>
        </is>
      </c>
      <c r="D25" t="inlineStr">
        <is>
          <t>Explain the Prisoner's Dilemma and its implications for price competition in international business.</t>
        </is>
      </c>
      <c r="E25" t="inlineStr">
        <is>
          <t>Week 10 — Game Theory in International Business</t>
        </is>
      </c>
      <c r="F25" t="inlineStr">
        <is>
          <t>The Prisoner's Dilemma is often used to explain why individually rational decisions can lead to collectively inferior outcomes in international business, such as price wars. What is the fundamental reason that both firms end up with lower profits despite acting rationally?</t>
        </is>
      </c>
      <c r="G25" t="inlineStr">
        <is>
          <t>Multiple Choice</t>
        </is>
      </c>
      <c r="H25" t="inlineStr">
        <is>
          <t>Understanding</t>
        </is>
      </c>
      <c r="I25" t="inlineStr">
        <is>
          <t>Firms prioritize short-term profits over long-term cooperative strategies</t>
        </is>
      </c>
      <c r="J25" t="inlineStr">
        <is>
          <t>Each firm undercuts to gain share, and both suffer lower profits.</t>
        </is>
      </c>
      <c r="K25" t="inlineStr">
        <is>
          <t>Market demand is too unpredictable for stable pricing.</t>
        </is>
      </c>
      <c r="L25" t="inlineStr">
        <is>
          <t>Government regulations restrict firms from coordinating their prices</t>
        </is>
      </c>
      <c r="M25" t="inlineStr">
        <is>
          <t>B</t>
        </is>
      </c>
      <c r="N25" t="inlineStr">
        <is>
          <t>Each firm undercuts to gain share, and both suffer lower profits.</t>
        </is>
      </c>
      <c r="O25">
        <f>ROUND(SUM(Q25:U25)*1.3,0)</f>
        <v/>
      </c>
      <c r="Q25">
        <f>LEN(TRIM(F25))-LEN(SUBSTITUTE(TRIM(F25)," ",""))+1</f>
        <v/>
      </c>
      <c r="R25">
        <f>LEN(TRIM(I25))-LEN(SUBSTITUTE(TRIM(I25)," ",""))+1</f>
        <v/>
      </c>
      <c r="S25">
        <f>LEN(TRIM(J25))-LEN(SUBSTITUTE(TRIM(J25)," ",""))+1</f>
        <v/>
      </c>
      <c r="T25">
        <f>LEN(TRIM(K25))-LEN(SUBSTITUTE(TRIM(K25)," ",""))+1</f>
        <v/>
      </c>
      <c r="U25">
        <f>LEN(TRIM(L25))-LEN(SUBSTITUTE(TRIM(L25)," ",""))+1</f>
        <v/>
      </c>
    </row>
    <row r="26">
      <c r="C26" t="inlineStr">
        <is>
          <t>Midterm</t>
        </is>
      </c>
      <c r="D26" t="inlineStr">
        <is>
          <t>Apply game theory to predict outcomes in sequential market entry games.</t>
        </is>
      </c>
      <c r="E26" t="inlineStr">
        <is>
          <t>Week 10 — Game Theory in International Business</t>
        </is>
      </c>
      <c r="F26" t="inlineStr">
        <is>
          <t>A firm is considering entering a foreign market where the incumbent company must decide whether to fight or accommodate the new entrant. If the payoff matrix shows that fighting would reduce the incumbent's profit even more than accommodating, what is the predicted outcome of this sequential game?</t>
        </is>
      </c>
      <c r="G26" t="inlineStr">
        <is>
          <t>Multiple Choice</t>
        </is>
      </c>
      <c r="H26" t="inlineStr">
        <is>
          <t>Applying</t>
        </is>
      </c>
      <c r="I26" t="inlineStr">
        <is>
          <t>The incumbent fights to deter future entrants.</t>
        </is>
      </c>
      <c r="J26" t="inlineStr">
        <is>
          <t>The incumbent invests in excess capacity.</t>
        </is>
      </c>
      <c r="K26" t="inlineStr">
        <is>
          <t>The incumbent exits the market entirely.</t>
        </is>
      </c>
      <c r="L26" t="inlineStr">
        <is>
          <t>The incumbent accommodates to avoid mutual loss.</t>
        </is>
      </c>
      <c r="M26" t="inlineStr">
        <is>
          <t>D</t>
        </is>
      </c>
      <c r="N26" t="inlineStr">
        <is>
          <t>The incumbent accommodates to avoid mutual loss.</t>
        </is>
      </c>
      <c r="O26">
        <f>ROUND(SUM(Q26:U26)*1.3,0)</f>
        <v/>
      </c>
      <c r="Q26">
        <f>LEN(TRIM(F26))-LEN(SUBSTITUTE(TRIM(F26)," ",""))+1</f>
        <v/>
      </c>
      <c r="R26">
        <f>LEN(TRIM(I26))-LEN(SUBSTITUTE(TRIM(I26)," ",""))+1</f>
        <v/>
      </c>
      <c r="S26">
        <f>LEN(TRIM(J26))-LEN(SUBSTITUTE(TRIM(J26)," ",""))+1</f>
        <v/>
      </c>
      <c r="T26">
        <f>LEN(TRIM(K26))-LEN(SUBSTITUTE(TRIM(K26)," ",""))+1</f>
        <v/>
      </c>
      <c r="U26">
        <f>LEN(TRIM(L26))-LEN(SUBSTITUTE(TRIM(L26)," ",""))+1</f>
        <v/>
      </c>
    </row>
    <row r="27">
      <c r="C27" t="inlineStr">
        <is>
          <t>Midterm</t>
        </is>
      </c>
      <c r="D27" t="inlineStr">
        <is>
          <t>Analyze the tariff-setting game between countries as a Prisoner's Dilemma.</t>
        </is>
      </c>
      <c r="E27" t="inlineStr">
        <is>
          <t>Week 10 — Game Theory in International Business</t>
        </is>
      </c>
      <c r="F27" t="inlineStr">
        <is>
          <t>In the context of international trade, the tariff-setting game between two countries is analyzed as a Prisoner's Dilemma. How does this model demonstrate that pursuing individual national interest can lead to worse outcomes for both countries?</t>
        </is>
      </c>
      <c r="G27" t="inlineStr">
        <is>
          <t>Multiple Choice</t>
        </is>
      </c>
      <c r="H27" t="inlineStr">
        <is>
          <t>Analyzing</t>
        </is>
      </c>
      <c r="I27" t="inlineStr">
        <is>
          <t>Each country lowers tariffs selectively for allied nations, excluding rivals</t>
        </is>
      </c>
      <c r="J27" t="inlineStr">
        <is>
          <t>Each country imposes tariffs, reducing mutual trade and welfare.</t>
        </is>
      </c>
      <c r="K27" t="inlineStr">
        <is>
          <t>Countries impose retaliatory tariffs in response to unfair trade practices</t>
        </is>
      </c>
      <c r="L27" t="inlineStr">
        <is>
          <t>WTO bindings eliminate any incentive to defect from free trade.</t>
        </is>
      </c>
      <c r="M27" t="inlineStr">
        <is>
          <t>B</t>
        </is>
      </c>
      <c r="N27" t="inlineStr">
        <is>
          <t>Each country imposes tariffs, reducing mutual trade and welfare.</t>
        </is>
      </c>
      <c r="O27">
        <f>ROUND(SUM(Q27:U27)*1.3,0)</f>
        <v/>
      </c>
      <c r="Q27">
        <f>LEN(TRIM(F27))-LEN(SUBSTITUTE(TRIM(F27)," ",""))+1</f>
        <v/>
      </c>
      <c r="R27">
        <f>LEN(TRIM(I27))-LEN(SUBSTITUTE(TRIM(I27)," ",""))+1</f>
        <v/>
      </c>
      <c r="S27">
        <f>LEN(TRIM(J27))-LEN(SUBSTITUTE(TRIM(J27)," ",""))+1</f>
        <v/>
      </c>
      <c r="T27">
        <f>LEN(TRIM(K27))-LEN(SUBSTITUTE(TRIM(K27)," ",""))+1</f>
        <v/>
      </c>
      <c r="U27">
        <f>LEN(TRIM(L27))-LEN(SUBSTITUTE(TRIM(L27)," ",""))+1</f>
        <v/>
      </c>
    </row>
    <row r="28">
      <c r="C28" t="inlineStr">
        <is>
          <t>Midterm</t>
        </is>
      </c>
      <c r="D28" t="inlineStr">
        <is>
          <t>Recall the seller's obligation under FOB Incoterm</t>
        </is>
      </c>
      <c r="E28" t="inlineStr">
        <is>
          <t>Week 11 — Global Supply Chain and Trade Logistics</t>
        </is>
      </c>
      <c r="F28" t="inlineStr">
        <is>
          <t>What is the seller required to do under the FOB Incoterm?</t>
        </is>
      </c>
      <c r="G28" t="inlineStr">
        <is>
          <t>Multiple Choice</t>
        </is>
      </c>
      <c r="H28" t="inlineStr">
        <is>
          <t>Remembering</t>
        </is>
      </c>
      <c r="I28" t="inlineStr">
        <is>
          <t>Deliver goods on board the vessel</t>
        </is>
      </c>
      <c r="J28" t="inlineStr">
        <is>
          <t>Deliver goods alongside the vessel</t>
        </is>
      </c>
      <c r="K28" t="inlineStr">
        <is>
          <t>Deliver goods to the buyer's warehouse</t>
        </is>
      </c>
      <c r="L28" t="inlineStr">
        <is>
          <t>Deliver goods for export clearance only</t>
        </is>
      </c>
      <c r="M28" t="inlineStr">
        <is>
          <t>A</t>
        </is>
      </c>
      <c r="N28" t="inlineStr">
        <is>
          <t>Deliver goods on board the vessel</t>
        </is>
      </c>
      <c r="O28">
        <f>ROUND(SUM(Q28:U28)*1.3,0)</f>
        <v/>
      </c>
      <c r="Q28">
        <f>LEN(TRIM(F28))-LEN(SUBSTITUTE(TRIM(F28)," ",""))+1</f>
        <v/>
      </c>
      <c r="R28">
        <f>LEN(TRIM(I28))-LEN(SUBSTITUTE(TRIM(I28)," ",""))+1</f>
        <v/>
      </c>
      <c r="S28">
        <f>LEN(TRIM(J28))-LEN(SUBSTITUTE(TRIM(J28)," ",""))+1</f>
        <v/>
      </c>
      <c r="T28">
        <f>LEN(TRIM(K28))-LEN(SUBSTITUTE(TRIM(K28)," ",""))+1</f>
        <v/>
      </c>
      <c r="U28">
        <f>LEN(TRIM(L28))-LEN(SUBSTITUTE(TRIM(L28)," ",""))+1</f>
        <v/>
      </c>
    </row>
    <row r="29">
      <c r="C29" t="inlineStr">
        <is>
          <t>Midterm</t>
        </is>
      </c>
      <c r="D29" t="inlineStr">
        <is>
          <t>Explain the bullwhip effect in international supply chains</t>
        </is>
      </c>
      <c r="E29" t="inlineStr">
        <is>
          <t>Week 11 — Global Supply Chain and Trade Logistics</t>
        </is>
      </c>
      <c r="F29" t="inlineStr">
        <is>
          <t>What factor amplifies the bullwhip effect in international supply chains compared to domestic ones?</t>
        </is>
      </c>
      <c r="G29" t="inlineStr">
        <is>
          <t>Multiple Choice</t>
        </is>
      </c>
      <c r="H29" t="inlineStr">
        <is>
          <t>Understanding</t>
        </is>
      </c>
      <c r="I29" t="inlineStr">
        <is>
          <t>Order batching across supply tiers</t>
        </is>
      </c>
      <c r="J29" t="inlineStr">
        <is>
          <t>High inventory carrying costs</t>
        </is>
      </c>
      <c r="K29" t="inlineStr">
        <is>
          <t>Forecast inaccuracies at each node</t>
        </is>
      </c>
      <c r="L29" t="inlineStr">
        <is>
          <t>Longer lead times, many intermediaries</t>
        </is>
      </c>
      <c r="M29" t="inlineStr">
        <is>
          <t>D</t>
        </is>
      </c>
      <c r="N29" t="inlineStr">
        <is>
          <t>Longer lead times, many intermediaries</t>
        </is>
      </c>
      <c r="O29">
        <f>ROUND(SUM(Q29:U29)*1.3,0)</f>
        <v/>
      </c>
      <c r="Q29">
        <f>LEN(TRIM(F29))-LEN(SUBSTITUTE(TRIM(F29)," ",""))+1</f>
        <v/>
      </c>
      <c r="R29">
        <f>LEN(TRIM(I29))-LEN(SUBSTITUTE(TRIM(I29)," ",""))+1</f>
        <v/>
      </c>
      <c r="S29">
        <f>LEN(TRIM(J29))-LEN(SUBSTITUTE(TRIM(J29)," ",""))+1</f>
        <v/>
      </c>
      <c r="T29">
        <f>LEN(TRIM(K29))-LEN(SUBSTITUTE(TRIM(K29)," ",""))+1</f>
        <v/>
      </c>
      <c r="U29">
        <f>LEN(TRIM(L29))-LEN(SUBSTITUTE(TRIM(L29)," ",""))+1</f>
        <v/>
      </c>
    </row>
    <row r="30">
      <c r="C30" t="inlineStr">
        <is>
          <t>Midterm</t>
        </is>
      </c>
      <c r="D30" t="inlineStr">
        <is>
          <t>Differentiate between CIF and CIP insurance requirements</t>
        </is>
      </c>
      <c r="E30" t="inlineStr">
        <is>
          <t>Week 11 — Global Supply Chain and Trade Logistics</t>
        </is>
      </c>
      <c r="F30" t="inlineStr">
        <is>
          <t>Why would an importer of high-value electronics prefer CIP over CIF Incoterms?</t>
        </is>
      </c>
      <c r="G30" t="inlineStr">
        <is>
          <t>Multiple Choice</t>
        </is>
      </c>
      <c r="H30" t="inlineStr">
        <is>
          <t>Analyzing</t>
        </is>
      </c>
      <c r="I30" t="inlineStr">
        <is>
          <t>CIF covers damage during ocean transit</t>
        </is>
      </c>
      <c r="J30" t="inlineStr">
        <is>
          <t>CIP requires all-risks coverage</t>
        </is>
      </c>
      <c r="K30" t="inlineStr">
        <is>
          <t>CIF risk transfers later in transit</t>
        </is>
      </c>
      <c r="L30" t="inlineStr">
        <is>
          <t>CIP covers origin to final delivery</t>
        </is>
      </c>
      <c r="M30" t="inlineStr">
        <is>
          <t>B</t>
        </is>
      </c>
      <c r="N30" t="inlineStr">
        <is>
          <t>CIP requires all-risks coverage</t>
        </is>
      </c>
      <c r="O30">
        <f>ROUND(SUM(Q30:U30)*1.3,0)</f>
        <v/>
      </c>
      <c r="Q30">
        <f>LEN(TRIM(F30))-LEN(SUBSTITUTE(TRIM(F30)," ",""))+1</f>
        <v/>
      </c>
      <c r="R30">
        <f>LEN(TRIM(I30))-LEN(SUBSTITUTE(TRIM(I30)," ",""))+1</f>
        <v/>
      </c>
      <c r="S30">
        <f>LEN(TRIM(J30))-LEN(SUBSTITUTE(TRIM(J30)," ",""))+1</f>
        <v/>
      </c>
      <c r="T30">
        <f>LEN(TRIM(K30))-LEN(SUBSTITUTE(TRIM(K30)," ",""))+1</f>
        <v/>
      </c>
      <c r="U30">
        <f>LEN(TRIM(L30))-LEN(SUBSTITUTE(TRIM(L30)," ",""))+1</f>
        <v/>
      </c>
    </row>
    <row r="31">
      <c r="C31" t="inlineStr">
        <is>
          <t>Midterm</t>
        </is>
      </c>
      <c r="D31" t="inlineStr">
        <is>
          <t>Describe the role of a confirmed irrevocable letter of credit</t>
        </is>
      </c>
      <c r="E31" t="inlineStr">
        <is>
          <t>Week 11 — Global Supply Chain and Trade Logistics</t>
        </is>
      </c>
      <c r="F31" t="inlineStr">
        <is>
          <t>What is the effect of a confirmed irrevocable letter of credit for a Philippine exporter?</t>
        </is>
      </c>
      <c r="G31" t="inlineStr">
        <is>
          <t>Multiple Choice</t>
        </is>
      </c>
      <c r="H31" t="inlineStr">
        <is>
          <t>Applying</t>
        </is>
      </c>
      <c r="I31" t="inlineStr">
        <is>
          <t>Guaranteed by importer's bank alone</t>
        </is>
      </c>
      <c r="J31" t="inlineStr">
        <is>
          <t>Guaranteed by two banks</t>
        </is>
      </c>
      <c r="K31" t="inlineStr">
        <is>
          <t>Payment after goods inspection</t>
        </is>
      </c>
      <c r="L31" t="inlineStr">
        <is>
          <t>Payment conditional on buyer approval</t>
        </is>
      </c>
      <c r="M31" t="inlineStr">
        <is>
          <t>B</t>
        </is>
      </c>
      <c r="N31" t="inlineStr">
        <is>
          <t>Guaranteed by two banks</t>
        </is>
      </c>
      <c r="O31">
        <f>ROUND(SUM(Q31:U31)*1.3,0)</f>
        <v/>
      </c>
      <c r="Q31">
        <f>LEN(TRIM(F31))-LEN(SUBSTITUTE(TRIM(F31)," ",""))+1</f>
        <v/>
      </c>
      <c r="R31">
        <f>LEN(TRIM(I31))-LEN(SUBSTITUTE(TRIM(I31)," ",""))+1</f>
        <v/>
      </c>
      <c r="S31">
        <f>LEN(TRIM(J31))-LEN(SUBSTITUTE(TRIM(J31)," ",""))+1</f>
        <v/>
      </c>
      <c r="T31">
        <f>LEN(TRIM(K31))-LEN(SUBSTITUTE(TRIM(K31)," ",""))+1</f>
        <v/>
      </c>
      <c r="U31">
        <f>LEN(TRIM(L31))-LEN(SUBSTITUTE(TRIM(L31)," ",""))+1</f>
        <v/>
      </c>
    </row>
    <row r="32">
      <c r="C32" t="inlineStr">
        <is>
          <t>Midterm</t>
        </is>
      </c>
      <c r="D32" t="inlineStr">
        <is>
          <t>Apply the doctrine of strict compliance in trade documentation</t>
        </is>
      </c>
      <c r="E32" t="inlineStr">
        <is>
          <t>Week 11 — Global Supply Chain and Trade Logistics</t>
        </is>
      </c>
      <c r="F32" t="inlineStr">
        <is>
          <t>If a commercial invoice contains a goods description that differs from the letter of credit, what is most likely to happen?</t>
        </is>
      </c>
      <c r="G32" t="inlineStr">
        <is>
          <t>Multiple Choice</t>
        </is>
      </c>
      <c r="H32" t="inlineStr">
        <is>
          <t>Applying</t>
        </is>
      </c>
      <c r="I32" t="inlineStr">
        <is>
          <t>Customs will detain the shipment</t>
        </is>
      </c>
      <c r="J32" t="inlineStr">
        <is>
          <t>Goods must be returned to origin</t>
        </is>
      </c>
      <c r="K32" t="inlineStr">
        <is>
          <t>Buyer can amend the L/C easily</t>
        </is>
      </c>
      <c r="L32" t="inlineStr">
        <is>
          <t>Bank will reject the documents</t>
        </is>
      </c>
      <c r="M32" t="inlineStr">
        <is>
          <t>D</t>
        </is>
      </c>
      <c r="N32" t="inlineStr">
        <is>
          <t>Bank will reject the documents</t>
        </is>
      </c>
      <c r="O32">
        <f>ROUND(SUM(Q32:U32)*1.3,0)</f>
        <v/>
      </c>
      <c r="Q32">
        <f>LEN(TRIM(F32))-LEN(SUBSTITUTE(TRIM(F32)," ",""))+1</f>
        <v/>
      </c>
      <c r="R32">
        <f>LEN(TRIM(I32))-LEN(SUBSTITUTE(TRIM(I32)," ",""))+1</f>
        <v/>
      </c>
      <c r="S32">
        <f>LEN(TRIM(J32))-LEN(SUBSTITUTE(TRIM(J32)," ",""))+1</f>
        <v/>
      </c>
      <c r="T32">
        <f>LEN(TRIM(K32))-LEN(SUBSTITUTE(TRIM(K32)," ",""))+1</f>
        <v/>
      </c>
      <c r="U32">
        <f>LEN(TRIM(L32))-LEN(SUBSTITUTE(TRIM(L32)," ",""))+1</f>
        <v/>
      </c>
    </row>
    <row r="33">
      <c r="C33" t="inlineStr">
        <is>
          <t>Midterm</t>
        </is>
      </c>
      <c r="D33" t="inlineStr">
        <is>
          <t>Evaluate the effectiveness of inventory buffering in supply chain disruptions</t>
        </is>
      </c>
      <c r="E33" t="inlineStr">
        <is>
          <t>Week 11 — Global Supply Chain and Trade Logistics</t>
        </is>
      </c>
      <c r="F33" t="inlineStr">
        <is>
          <t>A European car manufacturer uses just-in-time deliveries from Asia. When the Red Sea crisis delays shipments, which pre-existing strategy would have prevented production slowdown?</t>
        </is>
      </c>
      <c r="G33" t="inlineStr">
        <is>
          <t>Multiple Choice</t>
        </is>
      </c>
      <c r="H33" t="inlineStr">
        <is>
          <t>Applying</t>
        </is>
      </c>
      <c r="I33" t="inlineStr">
        <is>
          <t>Maintaining safety stock of components</t>
        </is>
      </c>
      <c r="J33" t="inlineStr">
        <is>
          <t>Single-sourcing from lowest-cost supplier</t>
        </is>
      </c>
      <c r="K33" t="inlineStr">
        <is>
          <t>Using only ocean freight transportation</t>
        </is>
      </c>
      <c r="L33" t="inlineStr">
        <is>
          <t>Consolidating production in one country</t>
        </is>
      </c>
      <c r="M33" t="inlineStr">
        <is>
          <t>A</t>
        </is>
      </c>
      <c r="N33" t="inlineStr">
        <is>
          <t>Maintaining safety stock of components</t>
        </is>
      </c>
      <c r="O33">
        <f>ROUND(SUM(Q33:U33)*1.3,0)</f>
        <v/>
      </c>
      <c r="Q33">
        <f>LEN(TRIM(F33))-LEN(SUBSTITUTE(TRIM(F33)," ",""))+1</f>
        <v/>
      </c>
      <c r="R33">
        <f>LEN(TRIM(I33))-LEN(SUBSTITUTE(TRIM(I33)," ",""))+1</f>
        <v/>
      </c>
      <c r="S33">
        <f>LEN(TRIM(J33))-LEN(SUBSTITUTE(TRIM(J33)," ",""))+1</f>
        <v/>
      </c>
      <c r="T33">
        <f>LEN(TRIM(K33))-LEN(SUBSTITUTE(TRIM(K33)," ",""))+1</f>
        <v/>
      </c>
      <c r="U33">
        <f>LEN(TRIM(L33))-LEN(SUBSTITUTE(TRIM(L33)," ",""))+1</f>
        <v/>
      </c>
    </row>
    <row r="34">
      <c r="C34" t="inlineStr">
        <is>
          <t>Midterm</t>
        </is>
      </c>
      <c r="D34" t="inlineStr">
        <is>
          <t>Explain the 'China Plus One' strategy</t>
        </is>
      </c>
      <c r="E34" t="inlineStr">
        <is>
          <t>Week 11 — Global Supply Chain and Trade Logistics</t>
        </is>
      </c>
      <c r="F34" t="inlineStr">
        <is>
          <t>What does the 'China Plus One' strategy involve?</t>
        </is>
      </c>
      <c r="G34" t="inlineStr">
        <is>
          <t>Multiple Choice</t>
        </is>
      </c>
      <c r="H34" t="inlineStr">
        <is>
          <t>Understanding</t>
        </is>
      </c>
      <c r="I34" t="inlineStr">
        <is>
          <t>Building production capacity in Vietnam</t>
        </is>
      </c>
      <c r="J34" t="inlineStr">
        <is>
          <t>A base in China plus another base</t>
        </is>
      </c>
      <c r="K34" t="inlineStr">
        <is>
          <t>Diversifying across multiple Asian countries</t>
        </is>
      </c>
      <c r="L34" t="inlineStr">
        <is>
          <t>Relocating supply chains back to home markets</t>
        </is>
      </c>
      <c r="M34" t="inlineStr">
        <is>
          <t>B</t>
        </is>
      </c>
      <c r="N34" t="inlineStr">
        <is>
          <t>A base in China plus another base</t>
        </is>
      </c>
      <c r="O34">
        <f>ROUND(SUM(Q34:U34)*1.3,0)</f>
        <v/>
      </c>
      <c r="Q34">
        <f>LEN(TRIM(F34))-LEN(SUBSTITUTE(TRIM(F34)," ",""))+1</f>
        <v/>
      </c>
      <c r="R34">
        <f>LEN(TRIM(I34))-LEN(SUBSTITUTE(TRIM(I34)," ",""))+1</f>
        <v/>
      </c>
      <c r="S34">
        <f>LEN(TRIM(J34))-LEN(SUBSTITUTE(TRIM(J34)," ",""))+1</f>
        <v/>
      </c>
      <c r="T34">
        <f>LEN(TRIM(K34))-LEN(SUBSTITUTE(TRIM(K34)," ",""))+1</f>
        <v/>
      </c>
      <c r="U34">
        <f>LEN(TRIM(L34))-LEN(SUBSTITUTE(TRIM(L34)," ",""))+1</f>
        <v/>
      </c>
    </row>
    <row r="35">
      <c r="C35" t="inlineStr">
        <is>
          <t>Midterm</t>
        </is>
      </c>
      <c r="D35" t="inlineStr">
        <is>
          <t>Recall the allocation of responsibilities under different Incoterms in international trade.</t>
        </is>
      </c>
      <c r="E35" t="inlineStr">
        <is>
          <t>Week 11 — Global Supply Chain and Trade Logistics</t>
        </is>
      </c>
      <c r="F35" t="inlineStr">
        <is>
          <t>Under Incoterms 2020, which trade term imposes the maximum obligation on the seller by requiring delivery to the buyer's premises with all import duties and taxes paid?</t>
        </is>
      </c>
      <c r="G35" t="inlineStr">
        <is>
          <t>Multiple Choice</t>
        </is>
      </c>
      <c r="H35" t="inlineStr">
        <is>
          <t>Remembering</t>
        </is>
      </c>
      <c r="I35" t="inlineStr">
        <is>
          <t>EXW requires only that goods are made available at the seller's premises</t>
        </is>
      </c>
      <c r="J35" t="inlineStr">
        <is>
          <t>FCA requires delivery to a carrier or named place for export clearance</t>
        </is>
      </c>
      <c r="K35" t="inlineStr">
        <is>
          <t>CIF requires the seller to pay freight and insurance to the destination port</t>
        </is>
      </c>
      <c r="L35" t="inlineStr">
        <is>
          <t>DDP requires the seller to deliver cleared for import at the named place</t>
        </is>
      </c>
      <c r="M35" t="inlineStr">
        <is>
          <t>D</t>
        </is>
      </c>
      <c r="N35" t="inlineStr">
        <is>
          <t>DDP requires the seller to deliver cleared for import at the named place</t>
        </is>
      </c>
      <c r="O35">
        <f>ROUND(SUM(Q35:U35)*1.3,0)</f>
        <v/>
      </c>
      <c r="Q35">
        <f>LEN(TRIM(F35))-LEN(SUBSTITUTE(TRIM(F35)," ",""))+1</f>
        <v/>
      </c>
      <c r="R35">
        <f>LEN(TRIM(I35))-LEN(SUBSTITUTE(TRIM(I35)," ",""))+1</f>
        <v/>
      </c>
      <c r="S35">
        <f>LEN(TRIM(J35))-LEN(SUBSTITUTE(TRIM(J35)," ",""))+1</f>
        <v/>
      </c>
      <c r="T35">
        <f>LEN(TRIM(K35))-LEN(SUBSTITUTE(TRIM(K35)," ",""))+1</f>
        <v/>
      </c>
      <c r="U35">
        <f>LEN(TRIM(L35))-LEN(SUBSTITUTE(TRIM(L35)," ",""))+1</f>
        <v/>
      </c>
    </row>
    <row r="36">
      <c r="C36" t="inlineStr">
        <is>
          <t>Midterm</t>
        </is>
      </c>
      <c r="D36" t="inlineStr">
        <is>
          <t>Explain the factors that amplify the bullwhip effect in global supply chains.</t>
        </is>
      </c>
      <c r="E36" t="inlineStr">
        <is>
          <t>Week 11 — Global Supply Chain and Trade Logistics</t>
        </is>
      </c>
      <c r="F36" t="inlineStr">
        <is>
          <t>In global supply chains, why does the bullwhip effect cause significantly larger order fluctuations upstream compared to domestic chains?</t>
        </is>
      </c>
      <c r="G36" t="inlineStr">
        <is>
          <t>Multiple Choice</t>
        </is>
      </c>
      <c r="H36" t="inlineStr">
        <is>
          <t>Understanding</t>
        </is>
      </c>
      <c r="I36" t="inlineStr">
        <is>
          <t>Shorter lead times reduce the time for information delays</t>
        </is>
      </c>
      <c r="J36" t="inlineStr">
        <is>
          <t>Free trade agreements ensure smoother information flows across borders</t>
        </is>
      </c>
      <c r="K36" t="inlineStr">
        <is>
          <t>Lower inventory levels in international chains prevent demand distortion</t>
        </is>
      </c>
      <c r="L36" t="inlineStr">
        <is>
          <t>Longer lead times and multiple intermediaries amplify demand signals</t>
        </is>
      </c>
      <c r="M36" t="inlineStr">
        <is>
          <t>D</t>
        </is>
      </c>
      <c r="N36" t="inlineStr">
        <is>
          <t>Longer lead times and multiple intermediaries amplify demand signals</t>
        </is>
      </c>
      <c r="O36">
        <f>ROUND(SUM(Q36:U36)*1.3,0)</f>
        <v/>
      </c>
      <c r="Q36">
        <f>LEN(TRIM(F36))-LEN(SUBSTITUTE(TRIM(F36)," ",""))+1</f>
        <v/>
      </c>
      <c r="R36">
        <f>LEN(TRIM(I36))-LEN(SUBSTITUTE(TRIM(I36)," ",""))+1</f>
        <v/>
      </c>
      <c r="S36">
        <f>LEN(TRIM(J36))-LEN(SUBSTITUTE(TRIM(J36)," ",""))+1</f>
        <v/>
      </c>
      <c r="T36">
        <f>LEN(TRIM(K36))-LEN(SUBSTITUTE(TRIM(K36)," ",""))+1</f>
        <v/>
      </c>
      <c r="U36">
        <f>LEN(TRIM(L36))-LEN(SUBSTITUTE(TRIM(L36)," ",""))+1</f>
        <v/>
      </c>
    </row>
    <row r="37">
      <c r="C37" t="inlineStr">
        <is>
          <t>Midterm</t>
        </is>
      </c>
      <c r="D37" t="inlineStr">
        <is>
          <t>Apply knowledge of trade finance instruments to manage cross-border payment risks.</t>
        </is>
      </c>
      <c r="E37" t="inlineStr">
        <is>
          <t>Week 11 — Global Supply Chain and Trade Logistics</t>
        </is>
      </c>
      <c r="F37" t="inlineStr">
        <is>
          <t>A Philippine furniture exporter receives a large order from a first-time buyer in a country with economic instability. To virtually eliminate payment risk, which mechanism should the exporter insist on?</t>
        </is>
      </c>
      <c r="G37" t="inlineStr">
        <is>
          <t>Multiple Choice</t>
        </is>
      </c>
      <c r="H37" t="inlineStr">
        <is>
          <t>Applying</t>
        </is>
      </c>
      <c r="I37" t="inlineStr">
        <is>
          <t>Open account terms, paying after receiving the goods</t>
        </is>
      </c>
      <c r="J37" t="inlineStr">
        <is>
          <t>Cash against documents (CAD) after shipment</t>
        </is>
      </c>
      <c r="K37" t="inlineStr">
        <is>
          <t>Confirmed irrevocable letter of credit from a local bank</t>
        </is>
      </c>
      <c r="L37" t="inlineStr">
        <is>
          <t>Unconfirmed sight letter of credit from the buyer's bank</t>
        </is>
      </c>
      <c r="M37" t="inlineStr">
        <is>
          <t>C</t>
        </is>
      </c>
      <c r="N37" t="inlineStr">
        <is>
          <t>Confirmed irrevocable letter of credit from a local bank</t>
        </is>
      </c>
      <c r="O37">
        <f>ROUND(SUM(Q37:U37)*1.3,0)</f>
        <v/>
      </c>
      <c r="Q37">
        <f>LEN(TRIM(F37))-LEN(SUBSTITUTE(TRIM(F37)," ",""))+1</f>
        <v/>
      </c>
      <c r="R37">
        <f>LEN(TRIM(I37))-LEN(SUBSTITUTE(TRIM(I37)," ",""))+1</f>
        <v/>
      </c>
      <c r="S37">
        <f>LEN(TRIM(J37))-LEN(SUBSTITUTE(TRIM(J37)," ",""))+1</f>
        <v/>
      </c>
      <c r="T37">
        <f>LEN(TRIM(K37))-LEN(SUBSTITUTE(TRIM(K37)," ",""))+1</f>
        <v/>
      </c>
      <c r="U37">
        <f>LEN(TRIM(L37))-LEN(SUBSTITUTE(TRIM(L37)," ",""))+1</f>
        <v/>
      </c>
    </row>
    <row r="38">
      <c r="C38" t="inlineStr">
        <is>
          <t>Midterm</t>
        </is>
      </c>
      <c r="D38" t="inlineStr">
        <is>
          <t>Explain the causes of the bullwhip effect in global supply chains</t>
        </is>
      </c>
      <c r="E38" t="inlineStr">
        <is>
          <t>Week 11 — Global Supply Chain and Trade Logistics</t>
        </is>
      </c>
      <c r="F38" t="inlineStr">
        <is>
          <t>In an international supply chain, a small surge in retail demand for a laptop model eventually causes a huge jump in orders placed by the manufacturer to its component suppliers, resulting in overproduction. What factor most explains this amplification?</t>
        </is>
      </c>
      <c r="G38" t="inlineStr">
        <is>
          <t>Multiple Choice</t>
        </is>
      </c>
      <c r="H38" t="inlineStr">
        <is>
          <t>Understanding</t>
        </is>
      </c>
      <c r="I38" t="inlineStr">
        <is>
          <t>Minimal safety stock in lean production systems</t>
        </is>
      </c>
      <c r="J38" t="inlineStr">
        <is>
          <t>Incoterms that allocate risk to the buyer</t>
        </is>
      </c>
      <c r="K38" t="inlineStr">
        <is>
          <t>Concentration of suppliers in one geographic region</t>
        </is>
      </c>
      <c r="L38" t="inlineStr">
        <is>
          <t>Longer lead times and information delays across borders</t>
        </is>
      </c>
      <c r="M38" t="inlineStr">
        <is>
          <t>D</t>
        </is>
      </c>
      <c r="N38" t="inlineStr">
        <is>
          <t>Longer lead times and information delays across borders</t>
        </is>
      </c>
      <c r="O38">
        <f>ROUND(SUM(Q38:U38)*1.3,0)</f>
        <v/>
      </c>
      <c r="Q38">
        <f>LEN(TRIM(F38))-LEN(SUBSTITUTE(TRIM(F38)," ",""))+1</f>
        <v/>
      </c>
      <c r="R38">
        <f>LEN(TRIM(I38))-LEN(SUBSTITUTE(TRIM(I38)," ",""))+1</f>
        <v/>
      </c>
      <c r="S38">
        <f>LEN(TRIM(J38))-LEN(SUBSTITUTE(TRIM(J38)," ",""))+1</f>
        <v/>
      </c>
      <c r="T38">
        <f>LEN(TRIM(K38))-LEN(SUBSTITUTE(TRIM(K38)," ",""))+1</f>
        <v/>
      </c>
      <c r="U38">
        <f>LEN(TRIM(L38))-LEN(SUBSTITUTE(TRIM(L38)," ",""))+1</f>
        <v/>
      </c>
    </row>
    <row r="39">
      <c r="C39" t="inlineStr">
        <is>
          <t>Midterm</t>
        </is>
      </c>
      <c r="D39" t="inlineStr">
        <is>
          <t>Recall risk transfer points under Incoterms CIF</t>
        </is>
      </c>
      <c r="E39" t="inlineStr">
        <is>
          <t>Week 11 — Global Supply Chain and Trade Logistics</t>
        </is>
      </c>
      <c r="F39" t="inlineStr">
        <is>
          <t>A Philippine electronics exporter ships a container of semiconductor components under a CIF Hamburg Incoterms rule. At what specific point does the risk of loss or damage to the goods pass from the seller to the buyer?</t>
        </is>
      </c>
      <c r="G39" t="inlineStr">
        <is>
          <t>Multiple Choice</t>
        </is>
      </c>
      <c r="H39" t="inlineStr">
        <is>
          <t>Remembering</t>
        </is>
      </c>
      <c r="I39" t="inlineStr">
        <is>
          <t>When goods are delivered to carrier at terminal</t>
        </is>
      </c>
      <c r="J39" t="inlineStr">
        <is>
          <t>When goods arrive at the port of destination</t>
        </is>
      </c>
      <c r="K39" t="inlineStr">
        <is>
          <t>When goods are loaded on board the vessel</t>
        </is>
      </c>
      <c r="L39" t="inlineStr">
        <is>
          <t>When buyer pays against shipping documents</t>
        </is>
      </c>
      <c r="M39" t="inlineStr">
        <is>
          <t>C</t>
        </is>
      </c>
      <c r="N39" t="inlineStr">
        <is>
          <t>When goods are loaded on board the vessel</t>
        </is>
      </c>
      <c r="O39">
        <f>ROUND(SUM(Q39:U39)*1.3,0)</f>
        <v/>
      </c>
      <c r="Q39">
        <f>LEN(TRIM(F39))-LEN(SUBSTITUTE(TRIM(F39)," ",""))+1</f>
        <v/>
      </c>
      <c r="R39">
        <f>LEN(TRIM(I39))-LEN(SUBSTITUTE(TRIM(I39)," ",""))+1</f>
        <v/>
      </c>
      <c r="S39">
        <f>LEN(TRIM(J39))-LEN(SUBSTITUTE(TRIM(J39)," ",""))+1</f>
        <v/>
      </c>
      <c r="T39">
        <f>LEN(TRIM(K39))-LEN(SUBSTITUTE(TRIM(K39)," ",""))+1</f>
        <v/>
      </c>
      <c r="U39">
        <f>LEN(TRIM(L39))-LEN(SUBSTITUTE(TRIM(L39)," ",""))+1</f>
        <v/>
      </c>
    </row>
    <row r="40">
      <c r="C40" t="inlineStr">
        <is>
          <t>Midterm</t>
        </is>
      </c>
      <c r="D40" t="inlineStr">
        <is>
          <t>Apply Incoterms rules to select the appropriate term for a given scenario</t>
        </is>
      </c>
      <c r="E40" t="inlineStr">
        <is>
          <t>Week 11 — Global Supply Chain and Trade Logistics</t>
        </is>
      </c>
      <c r="F40" t="inlineStr">
        <is>
          <t>A Philippine furniture company agrees to deliver goods to a buyer's warehouse in Brazil, handling all transportation, export and import clearance, and paying Brazilian import duties. Which Incoterms 2020 rule best matches this arrangement?</t>
        </is>
      </c>
      <c r="G40" t="inlineStr">
        <is>
          <t>Multiple Choice</t>
        </is>
      </c>
      <c r="H40" t="inlineStr">
        <is>
          <t>Applying</t>
        </is>
      </c>
      <c r="I40" t="inlineStr">
        <is>
          <t>FOB, seller delivers goods on board vessel at port</t>
        </is>
      </c>
      <c r="J40" t="inlineStr">
        <is>
          <t>CIF, seller arranges freight and insurance to destination</t>
        </is>
      </c>
      <c r="K40" t="inlineStr">
        <is>
          <t>EXW, buyer collects goods from seller's premises</t>
        </is>
      </c>
      <c r="L40" t="inlineStr">
        <is>
          <t>DDP, seller delivers duty paid to buyer's location</t>
        </is>
      </c>
      <c r="M40" t="inlineStr">
        <is>
          <t>D</t>
        </is>
      </c>
      <c r="N40" t="inlineStr">
        <is>
          <t>DDP, seller delivers duty paid to buyer's location</t>
        </is>
      </c>
      <c r="O40">
        <f>ROUND(SUM(Q40:U40)*1.3,0)</f>
        <v/>
      </c>
      <c r="Q40">
        <f>LEN(TRIM(F40))-LEN(SUBSTITUTE(TRIM(F40)," ",""))+1</f>
        <v/>
      </c>
      <c r="R40">
        <f>LEN(TRIM(I40))-LEN(SUBSTITUTE(TRIM(I40)," ",""))+1</f>
        <v/>
      </c>
      <c r="S40">
        <f>LEN(TRIM(J40))-LEN(SUBSTITUTE(TRIM(J40)," ",""))+1</f>
        <v/>
      </c>
      <c r="T40">
        <f>LEN(TRIM(K40))-LEN(SUBSTITUTE(TRIM(K40)," ",""))+1</f>
        <v/>
      </c>
      <c r="U40">
        <f>LEN(TRIM(L40))-LEN(SUBSTITUTE(TRIM(L40)," ",""))+1</f>
        <v/>
      </c>
    </row>
    <row r="41">
      <c r="C41" t="inlineStr">
        <is>
          <t>Midterm</t>
        </is>
      </c>
      <c r="D41" t="inlineStr">
        <is>
          <t>Analyze insurance coverage differences between CIF and CIP</t>
        </is>
      </c>
      <c r="E41" t="inlineStr">
        <is>
          <t>Week 11 — Global Supply Chain and Trade Logistics</t>
        </is>
      </c>
      <c r="F41" t="inlineStr">
        <is>
          <t>An importer purchases electronic components on CIF terms, expecting the seller's insurance to cover theft of the container at the destination port. Why is this assumption likely incorrect under Incoterms 2020?</t>
        </is>
      </c>
      <c r="G41" t="inlineStr">
        <is>
          <t>Multiple Choice</t>
        </is>
      </c>
      <c r="H41" t="inlineStr">
        <is>
          <t>Analyzing</t>
        </is>
      </c>
      <c r="I41" t="inlineStr">
        <is>
          <t>CIF requires only minimum Clause C insurance excluding theft</t>
        </is>
      </c>
      <c r="J41" t="inlineStr">
        <is>
          <t>CIF insurance uses Clause A covering most risks</t>
        </is>
      </c>
      <c r="K41" t="inlineStr">
        <is>
          <t>The seller insures goods up to the export country border</t>
        </is>
      </c>
      <c r="L41" t="inlineStr">
        <is>
          <t>CIF insurance requirements changed under Incoterms 2020</t>
        </is>
      </c>
      <c r="M41" t="inlineStr">
        <is>
          <t>A</t>
        </is>
      </c>
      <c r="N41" t="inlineStr">
        <is>
          <t>CIF requires only minimum Clause C insurance excluding theft</t>
        </is>
      </c>
      <c r="O41">
        <f>ROUND(SUM(Q41:U41)*1.3,0)</f>
        <v/>
      </c>
      <c r="Q41">
        <f>LEN(TRIM(F41))-LEN(SUBSTITUTE(TRIM(F41)," ",""))+1</f>
        <v/>
      </c>
      <c r="R41">
        <f>LEN(TRIM(I41))-LEN(SUBSTITUTE(TRIM(I41)," ",""))+1</f>
        <v/>
      </c>
      <c r="S41">
        <f>LEN(TRIM(J41))-LEN(SUBSTITUTE(TRIM(J41)," ",""))+1</f>
        <v/>
      </c>
      <c r="T41">
        <f>LEN(TRIM(K41))-LEN(SUBSTITUTE(TRIM(K41)," ",""))+1</f>
        <v/>
      </c>
      <c r="U41">
        <f>LEN(TRIM(L41))-LEN(SUBSTITUTE(TRIM(L41)," ",""))+1</f>
        <v/>
      </c>
    </row>
    <row r="42">
      <c r="C42" t="inlineStr">
        <is>
          <t>Finals</t>
        </is>
      </c>
      <c r="D42" t="inlineStr">
        <is>
          <t>explain the history, structure, and functions of the World Trade Organization</t>
        </is>
      </c>
      <c r="E42" t="inlineStr">
        <is>
          <t>Week 13 — The World Trading System — WTO and Trade Agreements</t>
        </is>
      </c>
      <c r="F42" t="inlineStr">
        <is>
          <t>On what date did the World Trade Organization (WTO) officially commence operations as a permanent international organization?</t>
        </is>
      </c>
      <c r="G42" t="inlineStr">
        <is>
          <t>Multiple Choice</t>
        </is>
      </c>
      <c r="H42" t="inlineStr">
        <is>
          <t>Remembering</t>
        </is>
      </c>
      <c r="I42" t="inlineStr">
        <is>
          <t>April 1994, with the Marrakesh Agreement</t>
        </is>
      </c>
      <c r="J42" t="inlineStr">
        <is>
          <t>January 1, 1995, with 123 founding members</t>
        </is>
      </c>
      <c r="K42" t="inlineStr">
        <is>
          <t>1947, when the GATT was first signed</t>
        </is>
      </c>
      <c r="L42" t="inlineStr">
        <is>
          <t>1979, when the Philippines joined GATT</t>
        </is>
      </c>
      <c r="M42" t="inlineStr">
        <is>
          <t>B</t>
        </is>
      </c>
      <c r="N42" t="inlineStr">
        <is>
          <t>January 1, 1995, with 123 founding members</t>
        </is>
      </c>
      <c r="O42">
        <f>ROUND(SUM(Q42:U42)*1.3,0)</f>
        <v/>
      </c>
      <c r="Q42">
        <f>LEN(TRIM(F42))-LEN(SUBSTITUTE(TRIM(F42)," ",""))+1</f>
        <v/>
      </c>
      <c r="R42">
        <f>LEN(TRIM(I42))-LEN(SUBSTITUTE(TRIM(I42)," ",""))+1</f>
        <v/>
      </c>
      <c r="S42">
        <f>LEN(TRIM(J42))-LEN(SUBSTITUTE(TRIM(J42)," ",""))+1</f>
        <v/>
      </c>
      <c r="T42">
        <f>LEN(TRIM(K42))-LEN(SUBSTITUTE(TRIM(K42)," ",""))+1</f>
        <v/>
      </c>
      <c r="U42">
        <f>LEN(TRIM(L42))-LEN(SUBSTITUTE(TRIM(L42)," ",""))+1</f>
        <v/>
      </c>
    </row>
    <row r="43">
      <c r="C43" t="inlineStr">
        <is>
          <t>Finals</t>
        </is>
      </c>
      <c r="D43" t="inlineStr">
        <is>
          <t>explain the history, structure, and functions of the World Trade Organization</t>
        </is>
      </c>
      <c r="E43" t="inlineStr">
        <is>
          <t>Week 13 — The World Trading System — WTO and Trade Agreements</t>
        </is>
      </c>
      <c r="F43" t="inlineStr">
        <is>
          <t>How does the WTO's consensus-based decision-making process create both a strength and a weakness for the organization?</t>
        </is>
      </c>
      <c r="G43" t="inlineStr">
        <is>
          <t>Multiple Choice</t>
        </is>
      </c>
      <c r="H43" t="inlineStr">
        <is>
          <t>Understanding</t>
        </is>
      </c>
      <c r="I43" t="inlineStr">
        <is>
          <t>It relies on weighted voting according to trade shares.</t>
        </is>
      </c>
      <c r="J43" t="inlineStr">
        <is>
          <t>It replaces the need for the Ministerial Conference.</t>
        </is>
      </c>
      <c r="K43" t="inlineStr">
        <is>
          <t>It grants veto power only to the largest economies.</t>
        </is>
      </c>
      <c r="L43" t="inlineStr">
        <is>
          <t>It ensures inclusivity yet slows down adaptation.</t>
        </is>
      </c>
      <c r="M43" t="inlineStr">
        <is>
          <t>D</t>
        </is>
      </c>
      <c r="N43" t="inlineStr">
        <is>
          <t>It ensures inclusivity yet slows down adaptation.</t>
        </is>
      </c>
      <c r="O43">
        <f>ROUND(SUM(Q43:U43)*1.3,0)</f>
        <v/>
      </c>
      <c r="Q43">
        <f>LEN(TRIM(F43))-LEN(SUBSTITUTE(TRIM(F43)," ",""))+1</f>
        <v/>
      </c>
      <c r="R43">
        <f>LEN(TRIM(I43))-LEN(SUBSTITUTE(TRIM(I43)," ",""))+1</f>
        <v/>
      </c>
      <c r="S43">
        <f>LEN(TRIM(J43))-LEN(SUBSTITUTE(TRIM(J43)," ",""))+1</f>
        <v/>
      </c>
      <c r="T43">
        <f>LEN(TRIM(K43))-LEN(SUBSTITUTE(TRIM(K43)," ",""))+1</f>
        <v/>
      </c>
      <c r="U43">
        <f>LEN(TRIM(L43))-LEN(SUBSTITUTE(TRIM(L43)," ",""))+1</f>
        <v/>
      </c>
    </row>
    <row r="44">
      <c r="C44" t="inlineStr">
        <is>
          <t>Finals</t>
        </is>
      </c>
      <c r="D44" t="inlineStr">
        <is>
          <t>explain the levels and forms of regional economic integration</t>
        </is>
      </c>
      <c r="E44" t="inlineStr">
        <is>
          <t>Week 14 — Regional Economic Integration and Trade Blocs v2</t>
        </is>
      </c>
      <c r="F44" t="inlineStr">
        <is>
          <t>What primary characteristic distinguishes a customs union from a free trade area?</t>
        </is>
      </c>
      <c r="G44" t="inlineStr">
        <is>
          <t>Multiple Choice</t>
        </is>
      </c>
      <c r="H44" t="inlineStr">
        <is>
          <t>Remembering</t>
        </is>
      </c>
      <c r="I44" t="inlineStr">
        <is>
          <t>Elimination of tariffs among members.</t>
        </is>
      </c>
      <c r="J44" t="inlineStr">
        <is>
          <t>Adoption of a common external tariff.</t>
        </is>
      </c>
      <c r="K44" t="inlineStr">
        <is>
          <t>Free movement of labor and capital.</t>
        </is>
      </c>
      <c r="L44" t="inlineStr">
        <is>
          <t>Harmonization of fiscal and monetary policies.</t>
        </is>
      </c>
      <c r="M44" t="inlineStr">
        <is>
          <t>B</t>
        </is>
      </c>
      <c r="N44" t="inlineStr">
        <is>
          <t>Adoption of a common external tariff.</t>
        </is>
      </c>
      <c r="O44">
        <f>ROUND(SUM(Q44:U44)*1.3,0)</f>
        <v/>
      </c>
      <c r="Q44">
        <f>LEN(TRIM(F44))-LEN(SUBSTITUTE(TRIM(F44)," ",""))+1</f>
        <v/>
      </c>
      <c r="R44">
        <f>LEN(TRIM(I44))-LEN(SUBSTITUTE(TRIM(I44)," ",""))+1</f>
        <v/>
      </c>
      <c r="S44">
        <f>LEN(TRIM(J44))-LEN(SUBSTITUTE(TRIM(J44)," ",""))+1</f>
        <v/>
      </c>
      <c r="T44">
        <f>LEN(TRIM(K44))-LEN(SUBSTITUTE(TRIM(K44)," ",""))+1</f>
        <v/>
      </c>
      <c r="U44">
        <f>LEN(TRIM(L44))-LEN(SUBSTITUTE(TRIM(L44)," ",""))+1</f>
        <v/>
      </c>
    </row>
    <row r="45">
      <c r="C45" t="inlineStr">
        <is>
          <t>Finals</t>
        </is>
      </c>
      <c r="D45" t="inlineStr">
        <is>
          <t>compare major trade blocs: EU, ASEAN, USMCA, AfCFTA</t>
        </is>
      </c>
      <c r="E45" t="inlineStr">
        <is>
          <t>Week 14 — Regional Economic Integration and Trade Blocs v2</t>
        </is>
      </c>
      <c r="F45" t="inlineStr">
        <is>
          <t>In the EU's single market, how does free movement of people most directly assist a German engineer seeking work in Ireland?</t>
        </is>
      </c>
      <c r="G45" t="inlineStr">
        <is>
          <t>Multiple Choice</t>
        </is>
      </c>
      <c r="H45" t="inlineStr">
        <is>
          <t>Understanding</t>
        </is>
      </c>
      <c r="I45" t="inlineStr">
        <is>
          <t>Elimination of customs duties on goods.</t>
        </is>
      </c>
      <c r="J45" t="inlineStr">
        <is>
          <t>Mutual Recognition Arrangements for engineers.</t>
        </is>
      </c>
      <c r="K45" t="inlineStr">
        <is>
          <t>Unrestricted capital flows across borders.</t>
        </is>
      </c>
      <c r="L45" t="inlineStr">
        <is>
          <t>No visa requirement for taking employment.</t>
        </is>
      </c>
      <c r="M45" t="inlineStr">
        <is>
          <t>D</t>
        </is>
      </c>
      <c r="N45" t="inlineStr">
        <is>
          <t>No visa requirement for taking employment.</t>
        </is>
      </c>
      <c r="O45">
        <f>ROUND(SUM(Q45:U45)*1.3,0)</f>
        <v/>
      </c>
      <c r="Q45">
        <f>LEN(TRIM(F45))-LEN(SUBSTITUTE(TRIM(F45)," ",""))+1</f>
        <v/>
      </c>
      <c r="R45">
        <f>LEN(TRIM(I45))-LEN(SUBSTITUTE(TRIM(I45)," ",""))+1</f>
        <v/>
      </c>
      <c r="S45">
        <f>LEN(TRIM(J45))-LEN(SUBSTITUTE(TRIM(J45)," ",""))+1</f>
        <v/>
      </c>
      <c r="T45">
        <f>LEN(TRIM(K45))-LEN(SUBSTITUTE(TRIM(K45)," ",""))+1</f>
        <v/>
      </c>
      <c r="U45">
        <f>LEN(TRIM(L45))-LEN(SUBSTITUTE(TRIM(L45)," ",""))+1</f>
        <v/>
      </c>
    </row>
    <row r="46">
      <c r="C46" t="inlineStr">
        <is>
          <t>Finals</t>
        </is>
      </c>
      <c r="D46" t="inlineStr">
        <is>
          <t>compare major trade blocs: EU, ASEAN, USMCA, AfCFTA</t>
        </is>
      </c>
      <c r="E46" t="inlineStr">
        <is>
          <t>Week 14 — Regional Economic Integration and Trade Blocs v2</t>
        </is>
      </c>
      <c r="F46" t="inlineStr">
        <is>
          <t>Why has the European Union achieved deeper integration, including a common currency, while ASEAN has not?</t>
        </is>
      </c>
      <c r="G46" t="inlineStr">
        <is>
          <t>Multiple Choice</t>
        </is>
      </c>
      <c r="H46" t="inlineStr">
        <is>
          <t>Analyzing</t>
        </is>
      </c>
      <c r="I46" t="inlineStr">
        <is>
          <t>EU has a larger combined GDP and population.</t>
        </is>
      </c>
      <c r="J46" t="inlineStr">
        <is>
          <t>EU has stronger supranational institutions.</t>
        </is>
      </c>
      <c r="K46" t="inlineStr">
        <is>
          <t>EU began regional cooperation earlier in 1951.</t>
        </is>
      </c>
      <c r="L46" t="inlineStr">
        <is>
          <t>EU members share a common currency.</t>
        </is>
      </c>
      <c r="M46" t="inlineStr">
        <is>
          <t>B</t>
        </is>
      </c>
      <c r="N46" t="inlineStr">
        <is>
          <t>EU has stronger supranational institutions.</t>
        </is>
      </c>
      <c r="O46">
        <f>ROUND(SUM(Q46:U46)*1.3,0)</f>
        <v/>
      </c>
      <c r="Q46">
        <f>LEN(TRIM(F46))-LEN(SUBSTITUTE(TRIM(F46)," ",""))+1</f>
        <v/>
      </c>
      <c r="R46">
        <f>LEN(TRIM(I46))-LEN(SUBSTITUTE(TRIM(I46)," ",""))+1</f>
        <v/>
      </c>
      <c r="S46">
        <f>LEN(TRIM(J46))-LEN(SUBSTITUTE(TRIM(J46)," ",""))+1</f>
        <v/>
      </c>
      <c r="T46">
        <f>LEN(TRIM(K46))-LEN(SUBSTITUTE(TRIM(K46)," ",""))+1</f>
        <v/>
      </c>
      <c r="U46">
        <f>LEN(TRIM(L46))-LEN(SUBSTITUTE(TRIM(L46)," ",""))+1</f>
        <v/>
      </c>
    </row>
    <row r="47">
      <c r="C47" t="inlineStr">
        <is>
          <t>Finals</t>
        </is>
      </c>
      <c r="D47" t="inlineStr">
        <is>
          <t>evaluate the benefits and challenges of ASEAN economic integration for Philippine businesses</t>
        </is>
      </c>
      <c r="E47" t="inlineStr">
        <is>
          <t>Week 14 — Regional Economic Integration and Trade Blocs v2</t>
        </is>
      </c>
      <c r="F47" t="inlineStr">
        <is>
          <t>A Filipino nurse is able to work in Singapore because of a specific ASEAN arrangement. What is this arrangement?</t>
        </is>
      </c>
      <c r="G47" t="inlineStr">
        <is>
          <t>Multiple Choice</t>
        </is>
      </c>
      <c r="H47" t="inlineStr">
        <is>
          <t>Applying</t>
        </is>
      </c>
      <c r="I47" t="inlineStr">
        <is>
          <t>Tariff elimination under AFTA</t>
        </is>
      </c>
      <c r="J47" t="inlineStr">
        <is>
          <t>Common external tariff</t>
        </is>
      </c>
      <c r="K47" t="inlineStr">
        <is>
          <t>Free movement of capital</t>
        </is>
      </c>
      <c r="L47" t="inlineStr">
        <is>
          <t>Mutual Recognition Arrangements</t>
        </is>
      </c>
      <c r="M47" t="inlineStr">
        <is>
          <t>D</t>
        </is>
      </c>
      <c r="N47" t="inlineStr">
        <is>
          <t>Mutual Recognition Arrangements</t>
        </is>
      </c>
      <c r="O47">
        <f>ROUND(SUM(Q47:U47)*1.3,0)</f>
        <v/>
      </c>
      <c r="Q47">
        <f>LEN(TRIM(F47))-LEN(SUBSTITUTE(TRIM(F47)," ",""))+1</f>
        <v/>
      </c>
      <c r="R47">
        <f>LEN(TRIM(I47))-LEN(SUBSTITUTE(TRIM(I47)," ",""))+1</f>
        <v/>
      </c>
      <c r="S47">
        <f>LEN(TRIM(J47))-LEN(SUBSTITUTE(TRIM(J47)," ",""))+1</f>
        <v/>
      </c>
      <c r="T47">
        <f>LEN(TRIM(K47))-LEN(SUBSTITUTE(TRIM(K47)," ",""))+1</f>
        <v/>
      </c>
      <c r="U47">
        <f>LEN(TRIM(L47))-LEN(SUBSTITUTE(TRIM(L47)," ",""))+1</f>
        <v/>
      </c>
    </row>
    <row r="48">
      <c r="C48" t="inlineStr">
        <is>
          <t>Finals</t>
        </is>
      </c>
      <c r="D48" t="inlineStr">
        <is>
          <t>explain the levels and forms of regional economic integration</t>
        </is>
      </c>
      <c r="E48" t="inlineStr">
        <is>
          <t>Week 14 — Regional Economic Integration and Trade Blocs v2</t>
        </is>
      </c>
      <c r="F48" t="inlineStr">
        <is>
          <t>Which level of integration is characterized by the elimination of tariffs among members while each member retains independent trade policies toward non-members?</t>
        </is>
      </c>
      <c r="G48" t="inlineStr">
        <is>
          <t>Multiple Choice</t>
        </is>
      </c>
      <c r="H48" t="inlineStr">
        <is>
          <t>Understanding</t>
        </is>
      </c>
      <c r="I48" t="inlineStr">
        <is>
          <t>Free Trade Area</t>
        </is>
      </c>
      <c r="J48" t="inlineStr">
        <is>
          <t>Common Market</t>
        </is>
      </c>
      <c r="K48" t="inlineStr">
        <is>
          <t>Economic Union</t>
        </is>
      </c>
      <c r="L48" t="inlineStr">
        <is>
          <t>Customs Union</t>
        </is>
      </c>
      <c r="M48" t="inlineStr">
        <is>
          <t>A</t>
        </is>
      </c>
      <c r="N48" t="inlineStr">
        <is>
          <t>Free Trade Area</t>
        </is>
      </c>
      <c r="O48">
        <f>ROUND(SUM(Q48:U48)*1.3,0)</f>
        <v/>
      </c>
      <c r="Q48">
        <f>LEN(TRIM(F48))-LEN(SUBSTITUTE(TRIM(F48)," ",""))+1</f>
        <v/>
      </c>
      <c r="R48">
        <f>LEN(TRIM(I48))-LEN(SUBSTITUTE(TRIM(I48)," ",""))+1</f>
        <v/>
      </c>
      <c r="S48">
        <f>LEN(TRIM(J48))-LEN(SUBSTITUTE(TRIM(J48)," ",""))+1</f>
        <v/>
      </c>
      <c r="T48">
        <f>LEN(TRIM(K48))-LEN(SUBSTITUTE(TRIM(K48)," ",""))+1</f>
        <v/>
      </c>
      <c r="U48">
        <f>LEN(TRIM(L48))-LEN(SUBSTITUTE(TRIM(L48)," ",""))+1</f>
        <v/>
      </c>
    </row>
    <row r="49">
      <c r="C49" t="inlineStr">
        <is>
          <t>Finals</t>
        </is>
      </c>
      <c r="D49" t="inlineStr">
        <is>
          <t>evaluate the benefits and challenges of ASEAN economic integration for Philippine businesses</t>
        </is>
      </c>
      <c r="E49" t="inlineStr">
        <is>
          <t>Week 14 — Regional Economic Integration and Trade Blocs v2</t>
        </is>
      </c>
      <c r="F49" t="inlineStr">
        <is>
          <t>A Philippine firm previously bought components from a local supplier for 100 pesos. After AFTA, it imports the same components from a Thai supplier for 80 pesos tariff-free. This benefit arises from which ASEAN arrangement?</t>
        </is>
      </c>
      <c r="G49" t="inlineStr">
        <is>
          <t>Multiple Choice</t>
        </is>
      </c>
      <c r="H49" t="inlineStr">
        <is>
          <t>Applying</t>
        </is>
      </c>
      <c r="I49" t="inlineStr">
        <is>
          <t>Mutual Recognition Arrangements for professional qualifications</t>
        </is>
      </c>
      <c r="J49" t="inlineStr">
        <is>
          <t>a common external tariff on outside ASEAN imports</t>
        </is>
      </c>
      <c r="K49" t="inlineStr">
        <is>
          <t>the free movement of capital across ASEAN member states</t>
        </is>
      </c>
      <c r="L49" t="inlineStr">
        <is>
          <t>the elimination of tariffs within the free trade area</t>
        </is>
      </c>
      <c r="M49" t="inlineStr">
        <is>
          <t>D</t>
        </is>
      </c>
      <c r="N49" t="inlineStr">
        <is>
          <t>the elimination of tariffs within the free trade area</t>
        </is>
      </c>
      <c r="O49">
        <f>ROUND(SUM(Q49:U49)*1.3,0)</f>
        <v/>
      </c>
      <c r="Q49">
        <f>LEN(TRIM(F49))-LEN(SUBSTITUTE(TRIM(F49)," ",""))+1</f>
        <v/>
      </c>
      <c r="R49">
        <f>LEN(TRIM(I49))-LEN(SUBSTITUTE(TRIM(I49)," ",""))+1</f>
        <v/>
      </c>
      <c r="S49">
        <f>LEN(TRIM(J49))-LEN(SUBSTITUTE(TRIM(J49)," ",""))+1</f>
        <v/>
      </c>
      <c r="T49">
        <f>LEN(TRIM(K49))-LEN(SUBSTITUTE(TRIM(K49)," ",""))+1</f>
        <v/>
      </c>
      <c r="U49">
        <f>LEN(TRIM(L49))-LEN(SUBSTITUTE(TRIM(L49)," ",""))+1</f>
        <v/>
      </c>
    </row>
    <row r="50">
      <c r="C50" t="inlineStr">
        <is>
          <t>Finals</t>
        </is>
      </c>
      <c r="D50" t="inlineStr">
        <is>
          <t>compare major trade blocs: EU, ASEAN, USMCA, AfCFTA</t>
        </is>
      </c>
      <c r="E50" t="inlineStr">
        <is>
          <t>Week 14 — Regional Economic Integration and Trade Blocs v2</t>
        </is>
      </c>
      <c r="F50" t="inlineStr">
        <is>
          <t>What approach does ASEAN take that prevents it from replicating the EU's institutional depth?</t>
        </is>
      </c>
      <c r="G50" t="inlineStr">
        <is>
          <t>Multiple Choice</t>
        </is>
      </c>
      <c r="H50" t="inlineStr">
        <is>
          <t>Remembering</t>
        </is>
      </c>
      <c r="I50" t="inlineStr">
        <is>
          <t>Consensus and non-interference</t>
        </is>
      </c>
      <c r="J50" t="inlineStr">
        <is>
          <t>Allowing free movement of labor</t>
        </is>
      </c>
      <c r="K50" t="inlineStr">
        <is>
          <t>Maintaining a common external tariff</t>
        </is>
      </c>
      <c r="L50" t="inlineStr">
        <is>
          <t>Establishing a common currency</t>
        </is>
      </c>
      <c r="M50" t="inlineStr">
        <is>
          <t>A</t>
        </is>
      </c>
      <c r="N50" t="inlineStr">
        <is>
          <t>Consensus and non-interference</t>
        </is>
      </c>
      <c r="O50">
        <f>ROUND(SUM(Q50:U50)*1.3,0)</f>
        <v/>
      </c>
      <c r="Q50">
        <f>LEN(TRIM(F50))-LEN(SUBSTITUTE(TRIM(F50)," ",""))+1</f>
        <v/>
      </c>
      <c r="R50">
        <f>LEN(TRIM(I50))-LEN(SUBSTITUTE(TRIM(I50)," ",""))+1</f>
        <v/>
      </c>
      <c r="S50">
        <f>LEN(TRIM(J50))-LEN(SUBSTITUTE(TRIM(J50)," ",""))+1</f>
        <v/>
      </c>
      <c r="T50">
        <f>LEN(TRIM(K50))-LEN(SUBSTITUTE(TRIM(K50)," ",""))+1</f>
        <v/>
      </c>
      <c r="U50">
        <f>LEN(TRIM(L50))-LEN(SUBSTITUTE(TRIM(L50)," ",""))+1</f>
        <v/>
      </c>
    </row>
    <row r="51">
      <c r="C51" t="inlineStr">
        <is>
          <t>Finals</t>
        </is>
      </c>
      <c r="D51" t="inlineStr">
        <is>
          <t>evaluate the benefits and challenges of ASEAN economic integration for Philippine businesses</t>
        </is>
      </c>
      <c r="E51" t="inlineStr">
        <is>
          <t>Week 14 — Regional Economic Integration and Trade Blocs v2</t>
        </is>
      </c>
      <c r="F51" t="inlineStr">
        <is>
          <t>A Philippine manufacturing firm benefits from tariff-free trade with Thailand under AFTA and also wants its Filipino engineers to work on-site in Thailand without additional licensing exams. Which two ASEAN mechanisms facilitate this?</t>
        </is>
      </c>
      <c r="G51" t="inlineStr">
        <is>
          <t>Multiple Choice</t>
        </is>
      </c>
      <c r="H51" t="inlineStr">
        <is>
          <t>Applying</t>
        </is>
      </c>
      <c r="I51" t="inlineStr">
        <is>
          <t>Common external tariff and single market regulations</t>
        </is>
      </c>
      <c r="J51" t="inlineStr">
        <is>
          <t>Customs union membership and free movement of capital</t>
        </is>
      </c>
      <c r="K51" t="inlineStr">
        <is>
          <t>AFTA tariff elimination and Mutual Recognition Arrangements</t>
        </is>
      </c>
      <c r="L51" t="inlineStr">
        <is>
          <t>Economic union policies and common currency</t>
        </is>
      </c>
      <c r="M51" t="inlineStr">
        <is>
          <t>C</t>
        </is>
      </c>
      <c r="N51" t="inlineStr">
        <is>
          <t>AFTA tariff elimination and Mutual Recognition Arrangements</t>
        </is>
      </c>
      <c r="O51">
        <f>ROUND(SUM(Q51:U51)*1.3,0)</f>
        <v/>
      </c>
      <c r="Q51">
        <f>LEN(TRIM(F51))-LEN(SUBSTITUTE(TRIM(F51)," ",""))+1</f>
        <v/>
      </c>
      <c r="R51">
        <f>LEN(TRIM(I51))-LEN(SUBSTITUTE(TRIM(I51)," ",""))+1</f>
        <v/>
      </c>
      <c r="S51">
        <f>LEN(TRIM(J51))-LEN(SUBSTITUTE(TRIM(J51)," ",""))+1</f>
        <v/>
      </c>
      <c r="T51">
        <f>LEN(TRIM(K51))-LEN(SUBSTITUTE(TRIM(K51)," ",""))+1</f>
        <v/>
      </c>
      <c r="U51">
        <f>LEN(TRIM(L51))-LEN(SUBSTITUTE(TRIM(L51)," ",""))+1</f>
        <v/>
      </c>
    </row>
    <row r="52">
      <c r="C52" t="inlineStr">
        <is>
          <t>Finals</t>
        </is>
      </c>
      <c r="D52" t="inlineStr">
        <is>
          <t>a. explain the levels and forms of regional economic integration</t>
        </is>
      </c>
      <c r="E52" t="inlineStr">
        <is>
          <t>Week 14 — Regional Economic Integration and Trade Blocs</t>
        </is>
      </c>
      <c r="F52" t="inlineStr">
        <is>
          <t>In the study of regional economic integration, what is the correct progression of integration levels, starting from the most basic to the most advanced?</t>
        </is>
      </c>
      <c r="G52" t="inlineStr">
        <is>
          <t>Multiple Choice</t>
        </is>
      </c>
      <c r="H52" t="inlineStr">
        <is>
          <t>Remembering</t>
        </is>
      </c>
      <c r="I52" t="inlineStr">
        <is>
          <t>FTA, customs union, common market, economic union</t>
        </is>
      </c>
      <c r="J52" t="inlineStr">
        <is>
          <t>Customs union, FTA, economic union, common market</t>
        </is>
      </c>
      <c r="K52" t="inlineStr">
        <is>
          <t>Common market, economic union, customs union, FTA</t>
        </is>
      </c>
      <c r="L52" t="inlineStr">
        <is>
          <t>Economic union, common market, FTA, customs union</t>
        </is>
      </c>
      <c r="M52" t="inlineStr">
        <is>
          <t>A</t>
        </is>
      </c>
      <c r="N52" t="inlineStr">
        <is>
          <t>FTA, customs union, common market, economic union</t>
        </is>
      </c>
      <c r="O52">
        <f>ROUND(SUM(Q52:U52)*1.3,0)</f>
        <v/>
      </c>
      <c r="Q52">
        <f>LEN(TRIM(F52))-LEN(SUBSTITUTE(TRIM(F52)," ",""))+1</f>
        <v/>
      </c>
      <c r="R52">
        <f>LEN(TRIM(I52))-LEN(SUBSTITUTE(TRIM(I52)," ",""))+1</f>
        <v/>
      </c>
      <c r="S52">
        <f>LEN(TRIM(J52))-LEN(SUBSTITUTE(TRIM(J52)," ",""))+1</f>
        <v/>
      </c>
      <c r="T52">
        <f>LEN(TRIM(K52))-LEN(SUBSTITUTE(TRIM(K52)," ",""))+1</f>
        <v/>
      </c>
      <c r="U52">
        <f>LEN(TRIM(L52))-LEN(SUBSTITUTE(TRIM(L52)," ",""))+1</f>
        <v/>
      </c>
    </row>
    <row r="53">
      <c r="C53" t="inlineStr">
        <is>
          <t>Finals</t>
        </is>
      </c>
      <c r="D53" t="inlineStr">
        <is>
          <t>a. explain the levels and forms of regional economic integration</t>
        </is>
      </c>
      <c r="E53" t="inlineStr">
        <is>
          <t>Week 14 — Regional Economic Integration and Trade Blocs</t>
        </is>
      </c>
      <c r="F53" t="inlineStr">
        <is>
          <t>The European Union is frequently cited as the world's most advanced integration model. Which level of regional integration does it represent?</t>
        </is>
      </c>
      <c r="G53" t="inlineStr">
        <is>
          <t>Multiple Choice</t>
        </is>
      </c>
      <c r="H53" t="inlineStr">
        <is>
          <t>Remembering</t>
        </is>
      </c>
      <c r="I53" t="inlineStr">
        <is>
          <t>Free trade area</t>
        </is>
      </c>
      <c r="J53" t="inlineStr">
        <is>
          <t>Customs union</t>
        </is>
      </c>
      <c r="K53" t="inlineStr">
        <is>
          <t>Economic union</t>
        </is>
      </c>
      <c r="L53" t="inlineStr">
        <is>
          <t>Common market</t>
        </is>
      </c>
      <c r="M53" t="inlineStr">
        <is>
          <t>C</t>
        </is>
      </c>
      <c r="N53" t="inlineStr">
        <is>
          <t>Economic union</t>
        </is>
      </c>
      <c r="O53">
        <f>ROUND(SUM(Q53:U53)*1.3,0)</f>
        <v/>
      </c>
      <c r="Q53">
        <f>LEN(TRIM(F53))-LEN(SUBSTITUTE(TRIM(F53)," ",""))+1</f>
        <v/>
      </c>
      <c r="R53">
        <f>LEN(TRIM(I53))-LEN(SUBSTITUTE(TRIM(I53)," ",""))+1</f>
        <v/>
      </c>
      <c r="S53">
        <f>LEN(TRIM(J53))-LEN(SUBSTITUTE(TRIM(J53)," ",""))+1</f>
        <v/>
      </c>
      <c r="T53">
        <f>LEN(TRIM(K53))-LEN(SUBSTITUTE(TRIM(K53)," ",""))+1</f>
        <v/>
      </c>
      <c r="U53">
        <f>LEN(TRIM(L53))-LEN(SUBSTITUTE(TRIM(L53)," ",""))+1</f>
        <v/>
      </c>
    </row>
    <row r="54">
      <c r="C54" t="inlineStr">
        <is>
          <t>Finals</t>
        </is>
      </c>
      <c r="D54" t="inlineStr">
        <is>
          <t>c. evaluate the benefits and challenges of ASEAN economic integration for Philippine businesses</t>
        </is>
      </c>
      <c r="E54" t="inlineStr">
        <is>
          <t>Week 14 — Regional Economic Integration and Trade Blocs</t>
        </is>
      </c>
      <c r="F54" t="inlineStr">
        <is>
          <t>A Philippine furniture manufacturer begins exporting to Thailand. Which ASEAN Economic Community measure most directly reduces its tariff payments?</t>
        </is>
      </c>
      <c r="G54" t="inlineStr">
        <is>
          <t>Multiple Choice</t>
        </is>
      </c>
      <c r="H54" t="inlineStr">
        <is>
          <t>Applying</t>
        </is>
      </c>
      <c r="I54" t="inlineStr">
        <is>
          <t>A common external tariff for ASEAN</t>
        </is>
      </c>
      <c r="J54" t="inlineStr">
        <is>
          <t>Free movement of skilled professionals</t>
        </is>
      </c>
      <c r="K54" t="inlineStr">
        <is>
          <t>Harmonized competition policy across members</t>
        </is>
      </c>
      <c r="L54" t="inlineStr">
        <is>
          <t>Removal of tariffs on intra-regional goods</t>
        </is>
      </c>
      <c r="M54" t="inlineStr">
        <is>
          <t>D</t>
        </is>
      </c>
      <c r="N54" t="inlineStr">
        <is>
          <t>Removal of tariffs on intra-regional goods</t>
        </is>
      </c>
      <c r="O54">
        <f>ROUND(SUM(Q54:U54)*1.3,0)</f>
        <v/>
      </c>
      <c r="Q54">
        <f>LEN(TRIM(F54))-LEN(SUBSTITUTE(TRIM(F54)," ",""))+1</f>
        <v/>
      </c>
      <c r="R54">
        <f>LEN(TRIM(I54))-LEN(SUBSTITUTE(TRIM(I54)," ",""))+1</f>
        <v/>
      </c>
      <c r="S54">
        <f>LEN(TRIM(J54))-LEN(SUBSTITUTE(TRIM(J54)," ",""))+1</f>
        <v/>
      </c>
      <c r="T54">
        <f>LEN(TRIM(K54))-LEN(SUBSTITUTE(TRIM(K54)," ",""))+1</f>
        <v/>
      </c>
      <c r="U54">
        <f>LEN(TRIM(L54))-LEN(SUBSTITUTE(TRIM(L54)," ",""))+1</f>
        <v/>
      </c>
    </row>
    <row r="55">
      <c r="C55" t="inlineStr">
        <is>
          <t>Finals</t>
        </is>
      </c>
      <c r="D55" t="inlineStr">
        <is>
          <t>a. explain the levels and forms of regional economic integration</t>
        </is>
      </c>
      <c r="E55" t="inlineStr">
        <is>
          <t>Week 14 — Regional Economic Integration and Trade Blocs</t>
        </is>
      </c>
      <c r="F55" t="inlineStr">
        <is>
          <t>How does a customs union fundamentally differ from a free trade area?</t>
        </is>
      </c>
      <c r="G55" t="inlineStr">
        <is>
          <t>Multiple Choice</t>
        </is>
      </c>
      <c r="H55" t="inlineStr">
        <is>
          <t>Analyzing</t>
        </is>
      </c>
      <c r="I55" t="inlineStr">
        <is>
          <t>It eliminates internal trade barriers</t>
        </is>
      </c>
      <c r="J55" t="inlineStr">
        <is>
          <t>It allows free movement of capital</t>
        </is>
      </c>
      <c r="K55" t="inlineStr">
        <is>
          <t>It adopts a common external tariff</t>
        </is>
      </c>
      <c r="L55" t="inlineStr">
        <is>
          <t>It coordinates fiscal and monetary policy</t>
        </is>
      </c>
      <c r="M55" t="inlineStr">
        <is>
          <t>C</t>
        </is>
      </c>
      <c r="N55" t="inlineStr">
        <is>
          <t>It adopts a common external tariff</t>
        </is>
      </c>
      <c r="O55">
        <f>ROUND(SUM(Q55:U55)*1.3,0)</f>
        <v/>
      </c>
      <c r="Q55">
        <f>LEN(TRIM(F55))-LEN(SUBSTITUTE(TRIM(F55)," ",""))+1</f>
        <v/>
      </c>
      <c r="R55">
        <f>LEN(TRIM(I55))-LEN(SUBSTITUTE(TRIM(I55)," ",""))+1</f>
        <v/>
      </c>
      <c r="S55">
        <f>LEN(TRIM(J55))-LEN(SUBSTITUTE(TRIM(J55)," ",""))+1</f>
        <v/>
      </c>
      <c r="T55">
        <f>LEN(TRIM(K55))-LEN(SUBSTITUTE(TRIM(K55)," ",""))+1</f>
        <v/>
      </c>
      <c r="U55">
        <f>LEN(TRIM(L55))-LEN(SUBSTITUTE(TRIM(L55)," ",""))+1</f>
        <v/>
      </c>
    </row>
    <row r="56">
      <c r="C56" t="inlineStr">
        <is>
          <t>Finals</t>
        </is>
      </c>
      <c r="D56" t="inlineStr">
        <is>
          <t>c. evaluate the benefits and challenges of ASEAN economic integration for Philippine businesses</t>
        </is>
      </c>
      <c r="E56" t="inlineStr">
        <is>
          <t>Week 14 — Regional Economic Integration and Trade Blocs</t>
        </is>
      </c>
      <c r="F56" t="inlineStr">
        <is>
          <t>A Philippine firm switches from a cheaper Chinese supplier to a less competitive Indonesian one to avoid tariffs. This illustrates which concept?</t>
        </is>
      </c>
      <c r="G56" t="inlineStr">
        <is>
          <t>Multiple Choice</t>
        </is>
      </c>
      <c r="H56" t="inlineStr">
        <is>
          <t>Applying</t>
        </is>
      </c>
      <c r="I56" t="inlineStr">
        <is>
          <t>Trade diversion</t>
        </is>
      </c>
      <c r="J56" t="inlineStr">
        <is>
          <t>Trade creation</t>
        </is>
      </c>
      <c r="K56" t="inlineStr">
        <is>
          <t>Free trade area effect</t>
        </is>
      </c>
      <c r="L56" t="inlineStr">
        <is>
          <t>Economic union benefit</t>
        </is>
      </c>
      <c r="M56" t="inlineStr">
        <is>
          <t>A</t>
        </is>
      </c>
      <c r="N56" t="inlineStr">
        <is>
          <t>Trade diversion</t>
        </is>
      </c>
      <c r="O56">
        <f>ROUND(SUM(Q56:U56)*1.3,0)</f>
        <v/>
      </c>
      <c r="Q56">
        <f>LEN(TRIM(F56))-LEN(SUBSTITUTE(TRIM(F56)," ",""))+1</f>
        <v/>
      </c>
      <c r="R56">
        <f>LEN(TRIM(I56))-LEN(SUBSTITUTE(TRIM(I56)," ",""))+1</f>
        <v/>
      </c>
      <c r="S56">
        <f>LEN(TRIM(J56))-LEN(SUBSTITUTE(TRIM(J56)," ",""))+1</f>
        <v/>
      </c>
      <c r="T56">
        <f>LEN(TRIM(K56))-LEN(SUBSTITUTE(TRIM(K56)," ",""))+1</f>
        <v/>
      </c>
      <c r="U56">
        <f>LEN(TRIM(L56))-LEN(SUBSTITUTE(TRIM(L56)," ",""))+1</f>
        <v/>
      </c>
    </row>
    <row r="57">
      <c r="C57" t="inlineStr">
        <is>
          <t>Finals</t>
        </is>
      </c>
      <c r="D57" t="inlineStr">
        <is>
          <t>c. evaluate the benefits and challenges of ASEAN economic integration for Philippine businesses</t>
        </is>
      </c>
      <c r="E57" t="inlineStr">
        <is>
          <t>Week 14 — Regional Economic Integration and Trade Blocs</t>
        </is>
      </c>
      <c r="F57" t="inlineStr">
        <is>
          <t>When did the Philippine Senate ratify the Regional Comprehensive Economic Partnership (RCEP)?</t>
        </is>
      </c>
      <c r="G57" t="inlineStr">
        <is>
          <t>Multiple Choice</t>
        </is>
      </c>
      <c r="H57" t="inlineStr">
        <is>
          <t>Remembering</t>
        </is>
      </c>
      <c r="I57" t="inlineStr">
        <is>
          <t>2015</t>
        </is>
      </c>
      <c r="J57" t="inlineStr">
        <is>
          <t>2020</t>
        </is>
      </c>
      <c r="K57" t="inlineStr">
        <is>
          <t>2023</t>
        </is>
      </c>
      <c r="L57" t="inlineStr">
        <is>
          <t>2022</t>
        </is>
      </c>
      <c r="M57" t="inlineStr">
        <is>
          <t>C</t>
        </is>
      </c>
      <c r="N57" t="inlineStr">
        <is>
          <t>2023</t>
        </is>
      </c>
      <c r="O57">
        <f>ROUND(SUM(Q57:U57)*1.3,0)</f>
        <v/>
      </c>
      <c r="Q57">
        <f>LEN(TRIM(F57))-LEN(SUBSTITUTE(TRIM(F57)," ",""))+1</f>
        <v/>
      </c>
      <c r="R57">
        <f>LEN(TRIM(I57))-LEN(SUBSTITUTE(TRIM(I57)," ",""))+1</f>
        <v/>
      </c>
      <c r="S57">
        <f>LEN(TRIM(J57))-LEN(SUBSTITUTE(TRIM(J57)," ",""))+1</f>
        <v/>
      </c>
      <c r="T57">
        <f>LEN(TRIM(K57))-LEN(SUBSTITUTE(TRIM(K57)," ",""))+1</f>
        <v/>
      </c>
      <c r="U57">
        <f>LEN(TRIM(L57))-LEN(SUBSTITUTE(TRIM(L57)," ",""))+1</f>
        <v/>
      </c>
    </row>
    <row r="58">
      <c r="C58" t="inlineStr">
        <is>
          <t>Finals</t>
        </is>
      </c>
      <c r="D58" t="inlineStr">
        <is>
          <t>b. compare major trade blocs: EU, ASEAN, USMCA, AfCFTA</t>
        </is>
      </c>
      <c r="E58" t="inlineStr">
        <is>
          <t>Week 14 — Regional Economic Integration and Trade Blocs</t>
        </is>
      </c>
      <c r="F58" t="inlineStr">
        <is>
          <t>Which statement best contrasts the integration depth of the European Union with that of ASEAN?</t>
        </is>
      </c>
      <c r="G58" t="inlineStr">
        <is>
          <t>Multiple Choice</t>
        </is>
      </c>
      <c r="H58" t="inlineStr">
        <is>
          <t>Analyzing</t>
        </is>
      </c>
      <c r="I58" t="inlineStr">
        <is>
          <t>The EU coordinates monetary policy across member states</t>
        </is>
      </c>
      <c r="J58" t="inlineStr">
        <is>
          <t>The EU has a single currency, while ASEAN does not.</t>
        </is>
      </c>
      <c r="K58" t="inlineStr">
        <is>
          <t>ASEAN has achieved a higher degree of political union</t>
        </is>
      </c>
      <c r="L58" t="inlineStr">
        <is>
          <t>ASEAN has a common external tariff, unlike the EU.</t>
        </is>
      </c>
      <c r="M58" t="inlineStr">
        <is>
          <t>B</t>
        </is>
      </c>
      <c r="N58" t="inlineStr">
        <is>
          <t>The EU has a single currency, while ASEAN does not.</t>
        </is>
      </c>
      <c r="O58">
        <f>ROUND(SUM(Q58:U58)*1.3,0)</f>
        <v/>
      </c>
      <c r="Q58">
        <f>LEN(TRIM(F58))-LEN(SUBSTITUTE(TRIM(F58)," ",""))+1</f>
        <v/>
      </c>
      <c r="R58">
        <f>LEN(TRIM(I58))-LEN(SUBSTITUTE(TRIM(I58)," ",""))+1</f>
        <v/>
      </c>
      <c r="S58">
        <f>LEN(TRIM(J58))-LEN(SUBSTITUTE(TRIM(J58)," ",""))+1</f>
        <v/>
      </c>
      <c r="T58">
        <f>LEN(TRIM(K58))-LEN(SUBSTITUTE(TRIM(K58)," ",""))+1</f>
        <v/>
      </c>
      <c r="U58">
        <f>LEN(TRIM(L58))-LEN(SUBSTITUTE(TRIM(L58)," ",""))+1</f>
        <v/>
      </c>
    </row>
    <row r="59">
      <c r="C59" t="inlineStr">
        <is>
          <t>Finals</t>
        </is>
      </c>
      <c r="D59" t="inlineStr">
        <is>
          <t>c. evaluate the benefits and challenges of ASEAN economic integration for Philippine businesses</t>
        </is>
      </c>
      <c r="E59" t="inlineStr">
        <is>
          <t>Week 14 — Regional Economic Integration and Trade Blocs</t>
        </is>
      </c>
      <c r="F59" t="inlineStr">
        <is>
          <t>The concepts of trade creation and trade diversion are attributed to which economist?</t>
        </is>
      </c>
      <c r="G59" t="inlineStr">
        <is>
          <t>Multiple Choice</t>
        </is>
      </c>
      <c r="H59" t="inlineStr">
        <is>
          <t>Remembering</t>
        </is>
      </c>
      <c r="I59" t="inlineStr">
        <is>
          <t>Paul Krugman</t>
        </is>
      </c>
      <c r="J59" t="inlineStr">
        <is>
          <t>Maurice Obstfeld</t>
        </is>
      </c>
      <c r="K59" t="inlineStr">
        <is>
          <t>Jacob Viner</t>
        </is>
      </c>
      <c r="L59" t="inlineStr">
        <is>
          <t>Marc Melitz</t>
        </is>
      </c>
      <c r="M59" t="inlineStr">
        <is>
          <t>C</t>
        </is>
      </c>
      <c r="N59" t="inlineStr">
        <is>
          <t>Jacob Viner</t>
        </is>
      </c>
      <c r="O59">
        <f>ROUND(SUM(Q59:U59)*1.3,0)</f>
        <v/>
      </c>
      <c r="Q59">
        <f>LEN(TRIM(F59))-LEN(SUBSTITUTE(TRIM(F59)," ",""))+1</f>
        <v/>
      </c>
      <c r="R59">
        <f>LEN(TRIM(I59))-LEN(SUBSTITUTE(TRIM(I59)," ",""))+1</f>
        <v/>
      </c>
      <c r="S59">
        <f>LEN(TRIM(J59))-LEN(SUBSTITUTE(TRIM(J59)," ",""))+1</f>
        <v/>
      </c>
      <c r="T59">
        <f>LEN(TRIM(K59))-LEN(SUBSTITUTE(TRIM(K59)," ",""))+1</f>
        <v/>
      </c>
      <c r="U59">
        <f>LEN(TRIM(L59))-LEN(SUBSTITUTE(TRIM(L59)," ",""))+1</f>
        <v/>
      </c>
    </row>
    <row r="60">
      <c r="C60" t="inlineStr">
        <is>
          <t>Finals</t>
        </is>
      </c>
      <c r="D60" t="inlineStr">
        <is>
          <t>b. compare major trade blocs: EU, ASEAN, USMCA, AfCFTA</t>
        </is>
      </c>
      <c r="E60" t="inlineStr">
        <is>
          <t>Week 14 — Regional Economic Integration and Trade Blocs</t>
        </is>
      </c>
      <c r="F60" t="inlineStr">
        <is>
          <t>Which level of regional integration is characterized by the adoption of a common external tariff?</t>
        </is>
      </c>
      <c r="G60" t="inlineStr">
        <is>
          <t>Multiple Choice</t>
        </is>
      </c>
      <c r="H60" t="inlineStr">
        <is>
          <t>Understanding</t>
        </is>
      </c>
      <c r="I60" t="inlineStr">
        <is>
          <t>Free trade area</t>
        </is>
      </c>
      <c r="J60" t="inlineStr">
        <is>
          <t>Customs union</t>
        </is>
      </c>
      <c r="K60" t="inlineStr">
        <is>
          <t>Common market</t>
        </is>
      </c>
      <c r="L60" t="inlineStr">
        <is>
          <t>Economic union</t>
        </is>
      </c>
      <c r="M60" t="inlineStr">
        <is>
          <t>B</t>
        </is>
      </c>
      <c r="N60" t="inlineStr">
        <is>
          <t>Customs union</t>
        </is>
      </c>
      <c r="O60">
        <f>ROUND(SUM(Q60:U60)*1.3,0)</f>
        <v/>
      </c>
      <c r="Q60">
        <f>LEN(TRIM(F60))-LEN(SUBSTITUTE(TRIM(F60)," ",""))+1</f>
        <v/>
      </c>
      <c r="R60">
        <f>LEN(TRIM(I60))-LEN(SUBSTITUTE(TRIM(I60)," ",""))+1</f>
        <v/>
      </c>
      <c r="S60">
        <f>LEN(TRIM(J60))-LEN(SUBSTITUTE(TRIM(J60)," ",""))+1</f>
        <v/>
      </c>
      <c r="T60">
        <f>LEN(TRIM(K60))-LEN(SUBSTITUTE(TRIM(K60)," ",""))+1</f>
        <v/>
      </c>
      <c r="U60">
        <f>LEN(TRIM(L60))-LEN(SUBSTITUTE(TRIM(L60)," ",""))+1</f>
        <v/>
      </c>
    </row>
    <row r="61">
      <c r="C61" t="inlineStr">
        <is>
          <t>Finals</t>
        </is>
      </c>
      <c r="D61" t="inlineStr">
        <is>
          <t>c. evaluate the benefits and challenges of ASEAN economic integration for Philippine businesses</t>
        </is>
      </c>
      <c r="E61" t="inlineStr">
        <is>
          <t>Week 14 — Regional Economic Integration and Trade Blocs</t>
        </is>
      </c>
      <c r="F61" t="inlineStr">
        <is>
          <t>The ASEAN Economic Community, designed to create a single market and production base, was launched in which year?</t>
        </is>
      </c>
      <c r="G61" t="inlineStr">
        <is>
          <t>Multiple Choice</t>
        </is>
      </c>
      <c r="H61" t="inlineStr">
        <is>
          <t>Remembering</t>
        </is>
      </c>
      <c r="I61" t="inlineStr">
        <is>
          <t>1992</t>
        </is>
      </c>
      <c r="J61" t="inlineStr">
        <is>
          <t>2015</t>
        </is>
      </c>
      <c r="K61" t="inlineStr">
        <is>
          <t>2007</t>
        </is>
      </c>
      <c r="L61" t="inlineStr">
        <is>
          <t>2023</t>
        </is>
      </c>
      <c r="M61" t="inlineStr">
        <is>
          <t>B</t>
        </is>
      </c>
      <c r="N61" t="inlineStr">
        <is>
          <t>2015</t>
        </is>
      </c>
      <c r="O61">
        <f>ROUND(SUM(Q61:U61)*1.3,0)</f>
        <v/>
      </c>
      <c r="Q61">
        <f>LEN(TRIM(F61))-LEN(SUBSTITUTE(TRIM(F61)," ",""))+1</f>
        <v/>
      </c>
      <c r="R61">
        <f>LEN(TRIM(I61))-LEN(SUBSTITUTE(TRIM(I61)," ",""))+1</f>
        <v/>
      </c>
      <c r="S61">
        <f>LEN(TRIM(J61))-LEN(SUBSTITUTE(TRIM(J61)," ",""))+1</f>
        <v/>
      </c>
      <c r="T61">
        <f>LEN(TRIM(K61))-LEN(SUBSTITUTE(TRIM(K61)," ",""))+1</f>
        <v/>
      </c>
      <c r="U61">
        <f>LEN(TRIM(L61))-LEN(SUBSTITUTE(TRIM(L61)," ",""))+1</f>
        <v/>
      </c>
    </row>
    <row r="62">
      <c r="C62" t="inlineStr">
        <is>
          <t>Finals</t>
        </is>
      </c>
      <c r="D62" t="inlineStr">
        <is>
          <t>Explain ethical frameworks and CSR concepts in the context of international business</t>
        </is>
      </c>
      <c r="E62" t="inlineStr">
        <is>
          <t>Week 15 — International Business Ethics and CSR</t>
        </is>
      </c>
      <c r="F62" t="inlineStr">
        <is>
          <t>When reasoning through ethical dilemmas in international business, which classical ethical framework focuses on the character of the decision-maker and asks, 'What would a person of integrity do?'</t>
        </is>
      </c>
      <c r="G62" t="inlineStr">
        <is>
          <t>Multiple Choice</t>
        </is>
      </c>
      <c r="H62" t="inlineStr">
        <is>
          <t>Remembering</t>
        </is>
      </c>
      <c r="I62" t="inlineStr">
        <is>
          <t>Maximizing overall net welfare for all stakeholders</t>
        </is>
      </c>
      <c r="J62" t="inlineStr">
        <is>
          <t>Respecting inviolable individual rights and dignity</t>
        </is>
      </c>
      <c r="K62" t="inlineStr">
        <is>
          <t>Focusing on decision-maker's character and wisdom</t>
        </is>
      </c>
      <c r="L62" t="inlineStr">
        <is>
          <t>Ensuring fair distribution of benefits and burdens</t>
        </is>
      </c>
      <c r="M62" t="inlineStr">
        <is>
          <t>C</t>
        </is>
      </c>
      <c r="N62" t="inlineStr">
        <is>
          <t>Focusing on decision-maker's character and wisdom</t>
        </is>
      </c>
      <c r="O62">
        <f>ROUND(SUM(Q62:U62)*1.3,0)</f>
        <v/>
      </c>
      <c r="Q62">
        <f>LEN(TRIM(F62))-LEN(SUBSTITUTE(TRIM(F62)," ",""))+1</f>
        <v/>
      </c>
      <c r="R62">
        <f>LEN(TRIM(I62))-LEN(SUBSTITUTE(TRIM(I62)," ",""))+1</f>
        <v/>
      </c>
      <c r="S62">
        <f>LEN(TRIM(J62))-LEN(SUBSTITUTE(TRIM(J62)," ",""))+1</f>
        <v/>
      </c>
      <c r="T62">
        <f>LEN(TRIM(K62))-LEN(SUBSTITUTE(TRIM(K62)," ",""))+1</f>
        <v/>
      </c>
      <c r="U62">
        <f>LEN(TRIM(L62))-LEN(SUBSTITUTE(TRIM(L62)," ",""))+1</f>
        <v/>
      </c>
    </row>
    <row r="63">
      <c r="C63" t="inlineStr">
        <is>
          <t>Finals</t>
        </is>
      </c>
      <c r="D63" t="inlineStr">
        <is>
          <t>Explain ethical frameworks and CSR concepts in the context of international business</t>
        </is>
      </c>
      <c r="E63" t="inlineStr">
        <is>
          <t>Week 15 — International Business Ethics and CSR</t>
        </is>
      </c>
      <c r="F63" t="inlineStr">
        <is>
          <t>Among the four classical ethical frameworks presented, which approach would most categorically prohibit child labor, even if it brings economic benefit to the child's family?</t>
        </is>
      </c>
      <c r="G63" t="inlineStr">
        <is>
          <t>Multiple Choice</t>
        </is>
      </c>
      <c r="H63" t="inlineStr">
        <is>
          <t>Analyzing</t>
        </is>
      </c>
      <c r="I63" t="inlineStr">
        <is>
          <t>Rights-based ethics, protecting inviolable entitlements</t>
        </is>
      </c>
      <c r="J63" t="inlineStr">
        <is>
          <t>Utilitarianism, which calculates aggregate welfare changes</t>
        </is>
      </c>
      <c r="K63" t="inlineStr">
        <is>
          <t>Justice-based ethics, ensuring fair distribution of burdens</t>
        </is>
      </c>
      <c r="L63" t="inlineStr">
        <is>
          <t>Virtue ethics, focusing on the character of decision-makers</t>
        </is>
      </c>
      <c r="M63" t="inlineStr">
        <is>
          <t>A</t>
        </is>
      </c>
      <c r="N63" t="inlineStr">
        <is>
          <t>Rights-based ethics, protecting inviolable entitlements</t>
        </is>
      </c>
      <c r="O63">
        <f>ROUND(SUM(Q63:U63)*1.3,0)</f>
        <v/>
      </c>
      <c r="Q63">
        <f>LEN(TRIM(F63))-LEN(SUBSTITUTE(TRIM(F63)," ",""))+1</f>
        <v/>
      </c>
      <c r="R63">
        <f>LEN(TRIM(I63))-LEN(SUBSTITUTE(TRIM(I63)," ",""))+1</f>
        <v/>
      </c>
      <c r="S63">
        <f>LEN(TRIM(J63))-LEN(SUBSTITUTE(TRIM(J63)," ",""))+1</f>
        <v/>
      </c>
      <c r="T63">
        <f>LEN(TRIM(K63))-LEN(SUBSTITUTE(TRIM(K63)," ",""))+1</f>
        <v/>
      </c>
      <c r="U63">
        <f>LEN(TRIM(L63))-LEN(SUBSTITUTE(TRIM(L63)," ",""))+1</f>
        <v/>
      </c>
    </row>
    <row r="64">
      <c r="C64" t="inlineStr">
        <is>
          <t>Finals</t>
        </is>
      </c>
      <c r="D64" t="inlineStr">
        <is>
          <t>Explain ethical frameworks and CSR concepts in the context of international business</t>
        </is>
      </c>
      <c r="E64" t="inlineStr">
        <is>
          <t>Week 15 — International Business Ethics and CSR</t>
        </is>
      </c>
      <c r="F64" t="inlineStr">
        <is>
          <t>A multinational company is deciding whether to relocate a factory from the Philippines to a lower-wage country. A manager using a utilitarian analysis would primarily consider which of the following?</t>
        </is>
      </c>
      <c r="G64" t="inlineStr">
        <is>
          <t>Multiple Choice</t>
        </is>
      </c>
      <c r="H64" t="inlineStr">
        <is>
          <t>Applying</t>
        </is>
      </c>
      <c r="I64" t="inlineStr">
        <is>
          <t>Whether the relocation respects workers' rights to notice and severance</t>
        </is>
      </c>
      <c r="J64" t="inlineStr">
        <is>
          <t>Whether the costs are borne by those least able to bear them</t>
        </is>
      </c>
      <c r="K64" t="inlineStr">
        <is>
          <t>Whether the decision reflects the character of a responsible corporate citizen</t>
        </is>
      </c>
      <c r="L64" t="inlineStr">
        <is>
          <t>The aggregate net welfare of all stakeholders, weighing jobs created against jobs lost</t>
        </is>
      </c>
      <c r="M64" t="inlineStr">
        <is>
          <t>D</t>
        </is>
      </c>
      <c r="N64" t="inlineStr">
        <is>
          <t>The aggregate net welfare of all stakeholders, weighing jobs created against jobs lost</t>
        </is>
      </c>
      <c r="O64">
        <f>ROUND(SUM(Q64:U64)*1.3,0)</f>
        <v/>
      </c>
      <c r="Q64">
        <f>LEN(TRIM(F64))-LEN(SUBSTITUTE(TRIM(F64)," ",""))+1</f>
        <v/>
      </c>
      <c r="R64">
        <f>LEN(TRIM(I64))-LEN(SUBSTITUTE(TRIM(I64)," ",""))+1</f>
        <v/>
      </c>
      <c r="S64">
        <f>LEN(TRIM(J64))-LEN(SUBSTITUTE(TRIM(J64)," ",""))+1</f>
        <v/>
      </c>
      <c r="T64">
        <f>LEN(TRIM(K64))-LEN(SUBSTITUTE(TRIM(K64)," ",""))+1</f>
        <v/>
      </c>
      <c r="U64">
        <f>LEN(TRIM(L64))-LEN(SUBSTITUTE(TRIM(L64)," ",""))+1</f>
        <v/>
      </c>
    </row>
    <row r="65">
      <c r="C65" t="inlineStr">
        <is>
          <t>Finals</t>
        </is>
      </c>
      <c r="D65" t="inlineStr">
        <is>
          <t>Explain ethical frameworks and CSR concepts in the context of international business</t>
        </is>
      </c>
      <c r="E65" t="inlineStr">
        <is>
          <t>Week 15 — International Business Ethics and CSR</t>
        </is>
      </c>
      <c r="F65" t="inlineStr">
        <is>
          <t>Under a rights-based ethical framework, which of the following business practices would be considered impermissible?</t>
        </is>
      </c>
      <c r="G65" t="inlineStr">
        <is>
          <t>Multiple Choice</t>
        </is>
      </c>
      <c r="H65" t="inlineStr">
        <is>
          <t>Understanding</t>
        </is>
      </c>
      <c r="I65" t="inlineStr">
        <is>
          <t>Using child labor even if it benefits the child's family economically</t>
        </is>
      </c>
      <c r="J65" t="inlineStr">
        <is>
          <t>Paying workers above minimum wage while suppressing union organizing</t>
        </is>
      </c>
      <c r="K65" t="inlineStr">
        <is>
          <t>Exceeding environmental standards while violating worker safety laws</t>
        </is>
      </c>
      <c r="L65" t="inlineStr">
        <is>
          <t>Donating to disaster relief while sourcing from forced labor factories</t>
        </is>
      </c>
      <c r="M65" t="inlineStr">
        <is>
          <t>A</t>
        </is>
      </c>
      <c r="N65" t="inlineStr">
        <is>
          <t>Using child labor even if it benefits the child's family economically</t>
        </is>
      </c>
      <c r="O65">
        <f>ROUND(SUM(Q65:U65)*1.3,0)</f>
        <v/>
      </c>
      <c r="Q65">
        <f>LEN(TRIM(F65))-LEN(SUBSTITUTE(TRIM(F65)," ",""))+1</f>
        <v/>
      </c>
      <c r="R65">
        <f>LEN(TRIM(I65))-LEN(SUBSTITUTE(TRIM(I65)," ",""))+1</f>
        <v/>
      </c>
      <c r="S65">
        <f>LEN(TRIM(J65))-LEN(SUBSTITUTE(TRIM(J65)," ",""))+1</f>
        <v/>
      </c>
      <c r="T65">
        <f>LEN(TRIM(K65))-LEN(SUBSTITUTE(TRIM(K65)," ",""))+1</f>
        <v/>
      </c>
      <c r="U65">
        <f>LEN(TRIM(L65))-LEN(SUBSTITUTE(TRIM(L65)," ",""))+1</f>
        <v/>
      </c>
    </row>
    <row r="66">
      <c r="C66" t="inlineStr">
        <is>
          <t>Finals</t>
        </is>
      </c>
      <c r="D66" t="inlineStr">
        <is>
          <t>Explain ethical frameworks and CSR concepts in the context of international business</t>
        </is>
      </c>
      <c r="E66" t="inlineStr">
        <is>
          <t>Week 15 — International Business Ethics and CSR</t>
        </is>
      </c>
      <c r="F66" t="inlineStr">
        <is>
          <t>Virtue ethics in international business primarily emphasizes:</t>
        </is>
      </c>
      <c r="G66" t="inlineStr">
        <is>
          <t>Multiple Choice</t>
        </is>
      </c>
      <c r="H66" t="inlineStr">
        <is>
          <t>Understanding</t>
        </is>
      </c>
      <c r="I66" t="inlineStr">
        <is>
          <t>Weighing aggregate benefits and harms of each decision</t>
        </is>
      </c>
      <c r="J66" t="inlineStr">
        <is>
          <t>Protecting inviolable rights of every affected person</t>
        </is>
      </c>
      <c r="K66" t="inlineStr">
        <is>
          <t>Ensuring the least advantaged are protected from disproportionate burdens</t>
        </is>
      </c>
      <c r="L66" t="inlineStr">
        <is>
          <t>The character of the decision-maker and the corporate culture</t>
        </is>
      </c>
      <c r="M66" t="inlineStr">
        <is>
          <t>D</t>
        </is>
      </c>
      <c r="N66" t="inlineStr">
        <is>
          <t>The character of the decision-maker and the corporate culture</t>
        </is>
      </c>
      <c r="O66">
        <f>ROUND(SUM(Q66:U66)*1.3,0)</f>
        <v/>
      </c>
      <c r="Q66">
        <f>LEN(TRIM(F66))-LEN(SUBSTITUTE(TRIM(F66)," ",""))+1</f>
        <v/>
      </c>
      <c r="R66">
        <f>LEN(TRIM(I66))-LEN(SUBSTITUTE(TRIM(I66)," ",""))+1</f>
        <v/>
      </c>
      <c r="S66">
        <f>LEN(TRIM(J66))-LEN(SUBSTITUTE(TRIM(J66)," ",""))+1</f>
        <v/>
      </c>
      <c r="T66">
        <f>LEN(TRIM(K66))-LEN(SUBSTITUTE(TRIM(K66)," ",""))+1</f>
        <v/>
      </c>
      <c r="U66">
        <f>LEN(TRIM(L66))-LEN(SUBSTITUTE(TRIM(L66)," ",""))+1</f>
        <v/>
      </c>
    </row>
    <row r="67">
      <c r="C67" t="inlineStr">
        <is>
          <t>Finals</t>
        </is>
      </c>
      <c r="D67" t="inlineStr">
        <is>
          <t>Explain ethical frameworks and CSR concepts in the context of international business</t>
        </is>
      </c>
      <c r="E67" t="inlineStr">
        <is>
          <t>Week 15 — International Business Ethics and CSR</t>
        </is>
      </c>
      <c r="F67" t="inlineStr">
        <is>
          <t>In Archie Carroll's pyramid of CSR, the expectation that a firm should contribute resources to the community through foundations or volunteer programs falls under:</t>
        </is>
      </c>
      <c r="G67" t="inlineStr">
        <is>
          <t>Multiple Choice</t>
        </is>
      </c>
      <c r="H67" t="inlineStr">
        <is>
          <t>Understanding</t>
        </is>
      </c>
      <c r="I67" t="inlineStr">
        <is>
          <t>Philanthropic responsibility</t>
        </is>
      </c>
      <c r="J67" t="inlineStr">
        <is>
          <t>Legal responsibility</t>
        </is>
      </c>
      <c r="K67" t="inlineStr">
        <is>
          <t>Ethical responsibility</t>
        </is>
      </c>
      <c r="L67" t="inlineStr">
        <is>
          <t>Economic responsibility</t>
        </is>
      </c>
      <c r="M67" t="inlineStr">
        <is>
          <t>A</t>
        </is>
      </c>
      <c r="N67" t="inlineStr">
        <is>
          <t>Philanthropic responsibility</t>
        </is>
      </c>
      <c r="O67">
        <f>ROUND(SUM(Q67:U67)*1.3,0)</f>
        <v/>
      </c>
      <c r="Q67">
        <f>LEN(TRIM(F67))-LEN(SUBSTITUTE(TRIM(F67)," ",""))+1</f>
        <v/>
      </c>
      <c r="R67">
        <f>LEN(TRIM(I67))-LEN(SUBSTITUTE(TRIM(I67)," ",""))+1</f>
        <v/>
      </c>
      <c r="S67">
        <f>LEN(TRIM(J67))-LEN(SUBSTITUTE(TRIM(J67)," ",""))+1</f>
        <v/>
      </c>
      <c r="T67">
        <f>LEN(TRIM(K67))-LEN(SUBSTITUTE(TRIM(K67)," ",""))+1</f>
        <v/>
      </c>
      <c r="U67">
        <f>LEN(TRIM(L67))-LEN(SUBSTITUTE(TRIM(L67)," ",""))+1</f>
        <v/>
      </c>
    </row>
    <row r="68">
      <c r="C68" t="inlineStr">
        <is>
          <t>Finals</t>
        </is>
      </c>
      <c r="D68" t="inlineStr">
        <is>
          <t>Identify the countries in the MINT grouping</t>
        </is>
      </c>
      <c r="E68" t="inlineStr">
        <is>
          <t>Week 16 — Emerging Markets and Innovation in Global Business</t>
        </is>
      </c>
      <c r="F68" t="inlineStr">
        <is>
          <t>Emerging market classifications include the MINT group, identified by Jim O'Neill in 2011. Which four countries do the letters in MINT represent?</t>
        </is>
      </c>
      <c r="G68" t="inlineStr">
        <is>
          <t>Multiple Choice</t>
        </is>
      </c>
      <c r="H68" t="inlineStr">
        <is>
          <t>Remembering</t>
        </is>
      </c>
      <c r="I68" t="inlineStr">
        <is>
          <t>Mexico, Indonesia, Nigeria, and Turkey</t>
        </is>
      </c>
      <c r="J68" t="inlineStr">
        <is>
          <t>Mexico, India, Nigeria, and Thailand</t>
        </is>
      </c>
      <c r="K68" t="inlineStr">
        <is>
          <t>Malaysia, Indonesia, Nigeria, and Turkey</t>
        </is>
      </c>
      <c r="L68" t="inlineStr">
        <is>
          <t>Mexico, Indonesia, Nepal, and Turkey</t>
        </is>
      </c>
      <c r="M68" t="inlineStr">
        <is>
          <t>A</t>
        </is>
      </c>
      <c r="N68" t="inlineStr">
        <is>
          <t>Mexico, Indonesia, Nigeria, and Turkey</t>
        </is>
      </c>
      <c r="O68">
        <f>ROUND(SUM(Q68:U68)*1.3,0)</f>
        <v/>
      </c>
      <c r="Q68">
        <f>LEN(TRIM(F68))-LEN(SUBSTITUTE(TRIM(F68)," ",""))+1</f>
        <v/>
      </c>
      <c r="R68">
        <f>LEN(TRIM(I68))-LEN(SUBSTITUTE(TRIM(I68)," ",""))+1</f>
        <v/>
      </c>
      <c r="S68">
        <f>LEN(TRIM(J68))-LEN(SUBSTITUTE(TRIM(J68)," ",""))+1</f>
        <v/>
      </c>
      <c r="T68">
        <f>LEN(TRIM(K68))-LEN(SUBSTITUTE(TRIM(K68)," ",""))+1</f>
        <v/>
      </c>
      <c r="U68">
        <f>LEN(TRIM(L68))-LEN(SUBSTITUTE(TRIM(L68)," ",""))+1</f>
        <v/>
      </c>
    </row>
    <row r="69">
      <c r="C69" t="inlineStr">
        <is>
          <t>Finals</t>
        </is>
      </c>
      <c r="D69" t="inlineStr">
        <is>
          <t>Analyze the limitations of the BRICS acronym in capturing member country diversity</t>
        </is>
      </c>
      <c r="E69" t="inlineStr">
        <is>
          <t>Week 16 — Emerging Markets and Innovation in Global Business</t>
        </is>
      </c>
      <c r="F69" t="inlineStr">
        <is>
          <t>In international business analysis, why is the BRICS acronym often considered insufficient for capturing the competitive strengths of its members?</t>
        </is>
      </c>
      <c r="G69" t="inlineStr">
        <is>
          <t>Multiple Choice</t>
        </is>
      </c>
      <c r="H69" t="inlineStr">
        <is>
          <t>Analyzing</t>
        </is>
      </c>
      <c r="I69" t="inlineStr">
        <is>
          <t>It overlooks substantial economic diversity among members</t>
        </is>
      </c>
      <c r="J69" t="inlineStr">
        <is>
          <t>It suggests members pursue analogous development strategies</t>
        </is>
      </c>
      <c r="K69" t="inlineStr">
        <is>
          <t>The grouping omits major oil-exporting nations</t>
        </is>
      </c>
      <c r="L69" t="inlineStr">
        <is>
          <t>It overemphasizes the role of service industries</t>
        </is>
      </c>
      <c r="M69" t="inlineStr">
        <is>
          <t>A</t>
        </is>
      </c>
      <c r="N69" t="inlineStr">
        <is>
          <t>It overlooks substantial economic diversity among members</t>
        </is>
      </c>
      <c r="O69">
        <f>ROUND(SUM(Q69:U69)*1.3,0)</f>
        <v/>
      </c>
      <c r="Q69">
        <f>LEN(TRIM(F69))-LEN(SUBSTITUTE(TRIM(F69)," ",""))+1</f>
        <v/>
      </c>
      <c r="R69">
        <f>LEN(TRIM(I69))-LEN(SUBSTITUTE(TRIM(I69)," ",""))+1</f>
        <v/>
      </c>
      <c r="S69">
        <f>LEN(TRIM(J69))-LEN(SUBSTITUTE(TRIM(J69)," ",""))+1</f>
        <v/>
      </c>
      <c r="T69">
        <f>LEN(TRIM(K69))-LEN(SUBSTITUTE(TRIM(K69)," ",""))+1</f>
        <v/>
      </c>
      <c r="U69">
        <f>LEN(TRIM(L69))-LEN(SUBSTITUTE(TRIM(L69)," ",""))+1</f>
        <v/>
      </c>
    </row>
    <row r="70">
      <c r="C70" t="inlineStr">
        <is>
          <t>Finals</t>
        </is>
      </c>
      <c r="D70" t="inlineStr">
        <is>
          <t>Apply the elements of Bottom of the Pyramid business models</t>
        </is>
      </c>
      <c r="E70" t="inlineStr">
        <is>
          <t>Week 16 — Emerging Markets and Innovation in Global Business</t>
        </is>
      </c>
      <c r="F70" t="inlineStr">
        <is>
          <t>A firm sells personal care products in single-serve sachets to low-income consumers in the Philippines. This directly applies which element of BOP business models?</t>
        </is>
      </c>
      <c r="G70" t="inlineStr">
        <is>
          <t>Multiple Choice</t>
        </is>
      </c>
      <c r="H70" t="inlineStr">
        <is>
          <t>Applying</t>
        </is>
      </c>
      <c r="I70" t="inlineStr">
        <is>
          <t>Accessibility through formal retail</t>
        </is>
      </c>
      <c r="J70" t="inlineStr">
        <is>
          <t>Awareness through community-based marketing</t>
        </is>
      </c>
      <c r="K70" t="inlineStr">
        <is>
          <t>Affordability through micro-packaging</t>
        </is>
      </c>
      <c r="L70" t="inlineStr">
        <is>
          <t>Availability through last-mile logistics</t>
        </is>
      </c>
      <c r="M70" t="inlineStr">
        <is>
          <t>C</t>
        </is>
      </c>
      <c r="N70" t="inlineStr">
        <is>
          <t>Affordability through micro-packaging</t>
        </is>
      </c>
      <c r="O70">
        <f>ROUND(SUM(Q70:U70)*1.3,0)</f>
        <v/>
      </c>
      <c r="Q70">
        <f>LEN(TRIM(F70))-LEN(SUBSTITUTE(TRIM(F70)," ",""))+1</f>
        <v/>
      </c>
      <c r="R70">
        <f>LEN(TRIM(I70))-LEN(SUBSTITUTE(TRIM(I70)," ",""))+1</f>
        <v/>
      </c>
      <c r="S70">
        <f>LEN(TRIM(J70))-LEN(SUBSTITUTE(TRIM(J70)," ",""))+1</f>
        <v/>
      </c>
      <c r="T70">
        <f>LEN(TRIM(K70))-LEN(SUBSTITUTE(TRIM(K70)," ",""))+1</f>
        <v/>
      </c>
      <c r="U70">
        <f>LEN(TRIM(L70))-LEN(SUBSTITUTE(TRIM(L70)," ",""))+1</f>
        <v/>
      </c>
    </row>
    <row r="71">
      <c r="C71" t="inlineStr">
        <is>
          <t>Finals</t>
        </is>
      </c>
      <c r="D71" t="inlineStr">
        <is>
          <t>Explain the regulatory challenges of digital trade, including taxation and data governance</t>
        </is>
      </c>
      <c r="E71" t="inlineStr">
        <is>
          <t>Week 17 — Contemporary Issues and Future of International Business</t>
        </is>
      </c>
      <c r="F71" t="inlineStr">
        <is>
          <t>Within digital trade negotiations, why do some developing countries oppose the WTO moratorium on customs duties for electronic transmissions?</t>
        </is>
      </c>
      <c r="G71" t="inlineStr">
        <is>
          <t>Multiple Choice</t>
        </is>
      </c>
      <c r="H71" t="inlineStr">
        <is>
          <t>Remembering</t>
        </is>
      </c>
      <c r="I71" t="inlineStr">
        <is>
          <t>It prevents them from imposing data localization</t>
        </is>
      </c>
      <c r="J71" t="inlineStr">
        <is>
          <t>It limits digital services tax collection</t>
        </is>
      </c>
      <c r="K71" t="inlineStr">
        <is>
          <t>It prohibits source code disclosure mandates</t>
        </is>
      </c>
      <c r="L71" t="inlineStr">
        <is>
          <t>It causes them to lose tariff revenue</t>
        </is>
      </c>
      <c r="M71" t="inlineStr">
        <is>
          <t>D</t>
        </is>
      </c>
      <c r="N71" t="inlineStr">
        <is>
          <t>It causes them to lose tariff revenue</t>
        </is>
      </c>
      <c r="O71">
        <f>ROUND(SUM(Q71:U71)*1.3,0)</f>
        <v/>
      </c>
      <c r="Q71">
        <f>LEN(TRIM(F71))-LEN(SUBSTITUTE(TRIM(F71)," ",""))+1</f>
        <v/>
      </c>
      <c r="R71">
        <f>LEN(TRIM(I71))-LEN(SUBSTITUTE(TRIM(I71)," ",""))+1</f>
        <v/>
      </c>
      <c r="S71">
        <f>LEN(TRIM(J71))-LEN(SUBSTITUTE(TRIM(J71)," ",""))+1</f>
        <v/>
      </c>
      <c r="T71">
        <f>LEN(TRIM(K71))-LEN(SUBSTITUTE(TRIM(K71)," ",""))+1</f>
        <v/>
      </c>
      <c r="U71">
        <f>LEN(TRIM(L71))-LEN(SUBSTITUTE(TRIM(L71)," ",""))+1</f>
        <v/>
      </c>
    </row>
    <row r="72">
      <c r="C72" t="inlineStr">
        <is>
          <t>Finals</t>
        </is>
      </c>
      <c r="D72" t="inlineStr">
        <is>
          <t>Identify the constraints affecting the Philippine digital trade sector</t>
        </is>
      </c>
      <c r="E72" t="inlineStr">
        <is>
          <t>Week 17 — Contemporary Issues and Future of International Business</t>
        </is>
      </c>
      <c r="F72" t="inlineStr">
        <is>
          <t>An IT-BPM company in the Philippines wants to expand its services to remote areas but encounters unreliable internet connectivity. Which of the following constraints on Philippine digital trade does this illustrate?</t>
        </is>
      </c>
      <c r="G72" t="inlineStr">
        <is>
          <t>Multiple Choice</t>
        </is>
      </c>
      <c r="H72" t="inlineStr">
        <is>
          <t>Understanding</t>
        </is>
      </c>
      <c r="I72" t="inlineStr">
        <is>
          <t>High logistics costs for physical goods</t>
        </is>
      </c>
      <c r="J72" t="inlineStr">
        <is>
          <t>Consumer trust deficit due to online fraud concerns</t>
        </is>
      </c>
      <c r="K72" t="inlineStr">
        <is>
          <t>Internet infrastructure quality below ASEAN average</t>
        </is>
      </c>
      <c r="L72" t="inlineStr">
        <is>
          <t>Concentration of digital skills in Metro Manila</t>
        </is>
      </c>
      <c r="M72" t="inlineStr">
        <is>
          <t>C</t>
        </is>
      </c>
      <c r="N72" t="inlineStr">
        <is>
          <t>Internet infrastructure quality below ASEAN average</t>
        </is>
      </c>
      <c r="O72">
        <f>ROUND(SUM(Q72:U72)*1.3,0)</f>
        <v/>
      </c>
      <c r="Q72">
        <f>LEN(TRIM(F72))-LEN(SUBSTITUTE(TRIM(F72)," ",""))+1</f>
        <v/>
      </c>
      <c r="R72">
        <f>LEN(TRIM(I72))-LEN(SUBSTITUTE(TRIM(I72)," ",""))+1</f>
        <v/>
      </c>
      <c r="S72">
        <f>LEN(TRIM(J72))-LEN(SUBSTITUTE(TRIM(J72)," ",""))+1</f>
        <v/>
      </c>
      <c r="T72">
        <f>LEN(TRIM(K72))-LEN(SUBSTITUTE(TRIM(K72)," ",""))+1</f>
        <v/>
      </c>
      <c r="U72">
        <f>LEN(TRIM(L72))-LEN(SUBSTITUTE(TRIM(L72)," ",""))+1</f>
        <v/>
      </c>
    </row>
    <row r="73">
      <c r="C73" t="inlineStr">
        <is>
          <t>Finals</t>
        </is>
      </c>
      <c r="D73" t="inlineStr">
        <is>
          <t>Explain the history, structure, and functions of the World Trade Organization</t>
        </is>
      </c>
      <c r="E73" t="inlineStr">
        <is>
          <t>Week 13 — The World Trading System — WTO and Trade Agreements</t>
        </is>
      </c>
      <c r="F73" t="inlineStr">
        <is>
          <t>In the aftermath of the Great Depression, a group of nations signed a provisional agreement in 1947 to reduce tariffs and prevent a protectionist spiral. How many countries were original signatories to this agreement?</t>
        </is>
      </c>
      <c r="G73" t="inlineStr">
        <is>
          <t>Multiple Choice</t>
        </is>
      </c>
      <c r="H73" t="inlineStr">
        <is>
          <t>Remembering</t>
        </is>
      </c>
      <c r="I73" t="inlineStr">
        <is>
          <t>5 countries</t>
        </is>
      </c>
      <c r="J73" t="inlineStr">
        <is>
          <t>123 countries</t>
        </is>
      </c>
      <c r="K73" t="inlineStr">
        <is>
          <t>164 countries</t>
        </is>
      </c>
      <c r="L73" t="inlineStr">
        <is>
          <t>23 countries</t>
        </is>
      </c>
      <c r="M73" t="inlineStr">
        <is>
          <t>D</t>
        </is>
      </c>
      <c r="N73" t="inlineStr">
        <is>
          <t>23 countries</t>
        </is>
      </c>
      <c r="O73">
        <f>ROUND(SUM(Q73:U73)*1.3,0)</f>
        <v/>
      </c>
      <c r="Q73">
        <f>LEN(TRIM(F73))-LEN(SUBSTITUTE(TRIM(F73)," ",""))+1</f>
        <v/>
      </c>
      <c r="R73">
        <f>LEN(TRIM(I73))-LEN(SUBSTITUTE(TRIM(I73)," ",""))+1</f>
        <v/>
      </c>
      <c r="S73">
        <f>LEN(TRIM(J73))-LEN(SUBSTITUTE(TRIM(J73)," ",""))+1</f>
        <v/>
      </c>
      <c r="T73">
        <f>LEN(TRIM(K73))-LEN(SUBSTITUTE(TRIM(K73)," ",""))+1</f>
        <v/>
      </c>
      <c r="U73">
        <f>LEN(TRIM(L73))-LEN(SUBSTITUTE(TRIM(L73)," ",""))+1</f>
        <v/>
      </c>
    </row>
    <row r="74">
      <c r="C74" t="inlineStr">
        <is>
          <t>Finals</t>
        </is>
      </c>
      <c r="D74" t="inlineStr">
        <is>
          <t>Explain the history, structure, and functions of the World Trade Organization</t>
        </is>
      </c>
      <c r="E74" t="inlineStr">
        <is>
          <t>Week 13 — The World Trading System — WTO and Trade Agreements</t>
        </is>
      </c>
      <c r="F74" t="inlineStr">
        <is>
          <t>Which council oversees the implementation of the General Agreement on Trade in Services (GATS)?</t>
        </is>
      </c>
      <c r="G74" t="inlineStr">
        <is>
          <t>Multiple Choice</t>
        </is>
      </c>
      <c r="H74" t="inlineStr">
        <is>
          <t>Remembering</t>
        </is>
      </c>
      <c r="I74" t="inlineStr">
        <is>
          <t>TRIPS Council</t>
        </is>
      </c>
      <c r="J74" t="inlineStr">
        <is>
          <t>Council for Trade in Goods</t>
        </is>
      </c>
      <c r="K74" t="inlineStr">
        <is>
          <t>Council for Trade in Services</t>
        </is>
      </c>
      <c r="L74" t="inlineStr">
        <is>
          <t>General Council</t>
        </is>
      </c>
      <c r="M74" t="inlineStr">
        <is>
          <t>C</t>
        </is>
      </c>
      <c r="N74" t="inlineStr">
        <is>
          <t>Council for Trade in Services</t>
        </is>
      </c>
      <c r="O74">
        <f>ROUND(SUM(Q74:U74)*1.3,0)</f>
        <v/>
      </c>
      <c r="Q74">
        <f>LEN(TRIM(F74))-LEN(SUBSTITUTE(TRIM(F74)," ",""))+1</f>
        <v/>
      </c>
      <c r="R74">
        <f>LEN(TRIM(I74))-LEN(SUBSTITUTE(TRIM(I74)," ",""))+1</f>
        <v/>
      </c>
      <c r="S74">
        <f>LEN(TRIM(J74))-LEN(SUBSTITUTE(TRIM(J74)," ",""))+1</f>
        <v/>
      </c>
      <c r="T74">
        <f>LEN(TRIM(K74))-LEN(SUBSTITUTE(TRIM(K74)," ",""))+1</f>
        <v/>
      </c>
      <c r="U74">
        <f>LEN(TRIM(L74))-LEN(SUBSTITUTE(TRIM(L74)," ",""))+1</f>
        <v/>
      </c>
    </row>
    <row r="75">
      <c r="C75" t="inlineStr">
        <is>
          <t>Finals</t>
        </is>
      </c>
      <c r="D75" t="inlineStr">
        <is>
          <t>explain the levels and forms of regional economic integration</t>
        </is>
      </c>
      <c r="E75" t="inlineStr">
        <is>
          <t>Week 14 — Regional Economic Integration and Trade Blocs v2</t>
        </is>
      </c>
      <c r="F75" t="inlineStr">
        <is>
          <t>In a Free Trade Area, members eliminate tariffs on intra-bloc trade but each sets its own external tariffs. What is the main function of rules of origin in this context?</t>
        </is>
      </c>
      <c r="G75" t="inlineStr">
        <is>
          <t>Multiple Choice</t>
        </is>
      </c>
      <c r="H75" t="inlineStr">
        <is>
          <t>Remembering</t>
        </is>
      </c>
      <c r="I75" t="inlineStr">
        <is>
          <t>To harmonize external tariffs across all member states</t>
        </is>
      </c>
      <c r="J75" t="inlineStr">
        <is>
          <t>To prevent non-member goods entering through low-tariff states</t>
        </is>
      </c>
      <c r="K75" t="inlineStr">
        <is>
          <t>To facilitate free movement of production factors across borders</t>
        </is>
      </c>
      <c r="L75" t="inlineStr">
        <is>
          <t>To establish a shared currency for intra-bloc settlements</t>
        </is>
      </c>
      <c r="M75" t="inlineStr">
        <is>
          <t>B</t>
        </is>
      </c>
      <c r="N75" t="inlineStr">
        <is>
          <t>To prevent non-member goods entering through low-tariff states</t>
        </is>
      </c>
      <c r="O75">
        <f>ROUND(SUM(Q75:U75)*1.3,0)</f>
        <v/>
      </c>
      <c r="Q75">
        <f>LEN(TRIM(F75))-LEN(SUBSTITUTE(TRIM(F75)," ",""))+1</f>
        <v/>
      </c>
      <c r="R75">
        <f>LEN(TRIM(I75))-LEN(SUBSTITUTE(TRIM(I75)," ",""))+1</f>
        <v/>
      </c>
      <c r="S75">
        <f>LEN(TRIM(J75))-LEN(SUBSTITUTE(TRIM(J75)," ",""))+1</f>
        <v/>
      </c>
      <c r="T75">
        <f>LEN(TRIM(K75))-LEN(SUBSTITUTE(TRIM(K75)," ",""))+1</f>
        <v/>
      </c>
      <c r="U75">
        <f>LEN(TRIM(L75))-LEN(SUBSTITUTE(TRIM(L75)," ",""))+1</f>
        <v/>
      </c>
    </row>
    <row r="76">
      <c r="C76" t="inlineStr">
        <is>
          <t>Finals</t>
        </is>
      </c>
      <c r="D76" t="inlineStr">
        <is>
          <t>explain the levels and forms of regional economic integration</t>
        </is>
      </c>
      <c r="E76" t="inlineStr">
        <is>
          <t>Week 14 — Regional Economic Integration and Trade Blocs v2</t>
        </is>
      </c>
      <c r="F76" t="inlineStr">
        <is>
          <t>A customs union differs from a free trade area by adopting a common external tariff. Why does this change eliminate the need for internal rules of origin?</t>
        </is>
      </c>
      <c r="G76" t="inlineStr">
        <is>
          <t>Multiple Choice</t>
        </is>
      </c>
      <c r="H76" t="inlineStr">
        <is>
          <t>Understanding</t>
        </is>
      </c>
      <c r="I76" t="inlineStr">
        <is>
          <t>Because a common monetary policy is adopted by all members</t>
        </is>
      </c>
      <c r="J76" t="inlineStr">
        <is>
          <t>Because all internal regulations are automatically harmonized</t>
        </is>
      </c>
      <c r="K76" t="inlineStr">
        <is>
          <t>Because labor mobility reduces the need to track product origins</t>
        </is>
      </c>
      <c r="L76" t="inlineStr">
        <is>
          <t>Because imports from outside face identical tariffs wherever they enter</t>
        </is>
      </c>
      <c r="M76" t="inlineStr">
        <is>
          <t>D</t>
        </is>
      </c>
      <c r="N76" t="inlineStr">
        <is>
          <t>Because imports from outside face identical tariffs wherever they enter</t>
        </is>
      </c>
      <c r="O76">
        <f>ROUND(SUM(Q76:U76)*1.3,0)</f>
        <v/>
      </c>
      <c r="Q76">
        <f>LEN(TRIM(F76))-LEN(SUBSTITUTE(TRIM(F76)," ",""))+1</f>
        <v/>
      </c>
      <c r="R76">
        <f>LEN(TRIM(I76))-LEN(SUBSTITUTE(TRIM(I76)," ",""))+1</f>
        <v/>
      </c>
      <c r="S76">
        <f>LEN(TRIM(J76))-LEN(SUBSTITUTE(TRIM(J76)," ",""))+1</f>
        <v/>
      </c>
      <c r="T76">
        <f>LEN(TRIM(K76))-LEN(SUBSTITUTE(TRIM(K76)," ",""))+1</f>
        <v/>
      </c>
      <c r="U76">
        <f>LEN(TRIM(L76))-LEN(SUBSTITUTE(TRIM(L76)," ",""))+1</f>
        <v/>
      </c>
    </row>
    <row r="77">
      <c r="C77" t="inlineStr">
        <is>
          <t>Finals</t>
        </is>
      </c>
      <c r="D77" t="inlineStr">
        <is>
          <t>compare major trade blocs: EU, ASEAN, USMCA, AfCFTA</t>
        </is>
      </c>
      <c r="E77" t="inlineStr">
        <is>
          <t>Week 14 — Regional Economic Integration and Trade Blocs v2</t>
        </is>
      </c>
      <c r="F77" t="inlineStr">
        <is>
          <t>How does the concept of functional spillover explain the European Union's evolution from the European Coal and Steel Community to a comprehensive economic union?</t>
        </is>
      </c>
      <c r="G77" t="inlineStr">
        <is>
          <t>Multiple Choice</t>
        </is>
      </c>
      <c r="H77" t="inlineStr">
        <is>
          <t>Understanding</t>
        </is>
      </c>
      <c r="I77" t="inlineStr">
        <is>
          <t>Creating interdependence that generates pressures for cooperation in related sectors</t>
        </is>
      </c>
      <c r="J77" t="inlineStr">
        <is>
          <t>Demonstrating that trade liberalization inevitably creates a political federation</t>
        </is>
      </c>
      <c r="K77" t="inlineStr">
        <is>
          <t>Mandating immediate adoption of a single currency for all member states</t>
        </is>
      </c>
      <c r="L77" t="inlineStr">
        <is>
          <t>Requiring central fiscal transfers to offset asymmetric economic shocks</t>
        </is>
      </c>
      <c r="M77" t="inlineStr">
        <is>
          <t>A</t>
        </is>
      </c>
      <c r="N77" t="inlineStr">
        <is>
          <t>Creating interdependence that generates pressures for cooperation in related sectors</t>
        </is>
      </c>
      <c r="O77">
        <f>ROUND(SUM(Q77:U77)*1.3,0)</f>
        <v/>
      </c>
      <c r="Q77">
        <f>LEN(TRIM(F77))-LEN(SUBSTITUTE(TRIM(F77)," ",""))+1</f>
        <v/>
      </c>
      <c r="R77">
        <f>LEN(TRIM(I77))-LEN(SUBSTITUTE(TRIM(I77)," ",""))+1</f>
        <v/>
      </c>
      <c r="S77">
        <f>LEN(TRIM(J77))-LEN(SUBSTITUTE(TRIM(J77)," ",""))+1</f>
        <v/>
      </c>
      <c r="T77">
        <f>LEN(TRIM(K77))-LEN(SUBSTITUTE(TRIM(K77)," ",""))+1</f>
        <v/>
      </c>
      <c r="U77">
        <f>LEN(TRIM(L77))-LEN(SUBSTITUTE(TRIM(L77)," ",""))+1</f>
        <v/>
      </c>
    </row>
    <row r="78">
      <c r="C78" t="inlineStr">
        <is>
          <t>Finals</t>
        </is>
      </c>
      <c r="D78" t="inlineStr">
        <is>
          <t>compare major trade blocs: EU, ASEAN, USMCA, AfCFTA</t>
        </is>
      </c>
      <c r="E78" t="inlineStr">
        <is>
          <t>Week 14 — Regional Economic Integration and Trade Blocs v2</t>
        </is>
      </c>
      <c r="F78" t="inlineStr">
        <is>
          <t>Within the EU's institutional framework, the European Court of Justice ensures consistent legal interpretation. How does this function help manage the tension between supranational rules and national autonomy?</t>
        </is>
      </c>
      <c r="G78" t="inlineStr">
        <is>
          <t>Multiple Choice</t>
        </is>
      </c>
      <c r="H78" t="inlineStr">
        <is>
          <t>Analyzing</t>
        </is>
      </c>
      <c r="I78" t="inlineStr">
        <is>
          <t>It proposes new legislation to replace incompatible national laws</t>
        </is>
      </c>
      <c r="J78" t="inlineStr">
        <is>
          <t>It directly elects representatives to the European Parliament</t>
        </is>
      </c>
      <c r="K78" t="inlineStr">
        <is>
          <t>It adjudicates disputes to ensure uniform application of EU law across members</t>
        </is>
      </c>
      <c r="L78" t="inlineStr">
        <is>
          <t>It sets monetary policy for eurozone countries through the central bank</t>
        </is>
      </c>
      <c r="M78" t="inlineStr">
        <is>
          <t>C</t>
        </is>
      </c>
      <c r="N78" t="inlineStr">
        <is>
          <t>It adjudicates disputes to ensure uniform application of EU law across members</t>
        </is>
      </c>
      <c r="O78">
        <f>ROUND(SUM(Q78:U78)*1.3,0)</f>
        <v/>
      </c>
      <c r="Q78">
        <f>LEN(TRIM(F78))-LEN(SUBSTITUTE(TRIM(F78)," ",""))+1</f>
        <v/>
      </c>
      <c r="R78">
        <f>LEN(TRIM(I78))-LEN(SUBSTITUTE(TRIM(I78)," ",""))+1</f>
        <v/>
      </c>
      <c r="S78">
        <f>LEN(TRIM(J78))-LEN(SUBSTITUTE(TRIM(J78)," ",""))+1</f>
        <v/>
      </c>
      <c r="T78">
        <f>LEN(TRIM(K78))-LEN(SUBSTITUTE(TRIM(K78)," ",""))+1</f>
        <v/>
      </c>
      <c r="U78">
        <f>LEN(TRIM(L78))-LEN(SUBSTITUTE(TRIM(L78)," ",""))+1</f>
        <v/>
      </c>
    </row>
    <row r="79">
      <c r="C79" t="inlineStr">
        <is>
          <t>Finals</t>
        </is>
      </c>
      <c r="D79" t="inlineStr">
        <is>
          <t>explain the levels and forms of regional economic integration</t>
        </is>
      </c>
      <c r="E79" t="inlineStr">
        <is>
          <t>Week 14 — Regional Economic Integration and Trade Blocs v2</t>
        </is>
      </c>
      <c r="F79" t="inlineStr">
        <is>
          <t>ASEAN currently operates as a free trade area. If members decide to advance to a full common market, which of the following policies must be added that is NOT part of either a free trade area or a customs union?</t>
        </is>
      </c>
      <c r="G79" t="inlineStr">
        <is>
          <t>Multiple Choice</t>
        </is>
      </c>
      <c r="H79" t="inlineStr">
        <is>
          <t>Analyzing</t>
        </is>
      </c>
      <c r="I79" t="inlineStr">
        <is>
          <t>A common external tariff on imports from non-ASEAN countries.</t>
        </is>
      </c>
      <c r="J79" t="inlineStr">
        <is>
          <t>Complete elimination of tariffs on intra-ASEAN goods trade.</t>
        </is>
      </c>
      <c r="K79" t="inlineStr">
        <is>
          <t>Adoption of a single currency managed by a central ASEAN bank.</t>
        </is>
      </c>
      <c r="L79" t="inlineStr">
        <is>
          <t>Unrestricted movement of workers and investment across all member states.</t>
        </is>
      </c>
      <c r="M79" t="inlineStr">
        <is>
          <t>D</t>
        </is>
      </c>
      <c r="N79" t="inlineStr">
        <is>
          <t>Unrestricted movement of workers and investment across all member states.</t>
        </is>
      </c>
      <c r="O79">
        <f>ROUND(SUM(Q79:U79)*1.3,0)</f>
        <v/>
      </c>
      <c r="Q79">
        <f>LEN(TRIM(F79))-LEN(SUBSTITUTE(TRIM(F79)," ",""))+1</f>
        <v/>
      </c>
      <c r="R79">
        <f>LEN(TRIM(I79))-LEN(SUBSTITUTE(TRIM(I79)," ",""))+1</f>
        <v/>
      </c>
      <c r="S79">
        <f>LEN(TRIM(J79))-LEN(SUBSTITUTE(TRIM(J79)," ",""))+1</f>
        <v/>
      </c>
      <c r="T79">
        <f>LEN(TRIM(K79))-LEN(SUBSTITUTE(TRIM(K79)," ",""))+1</f>
        <v/>
      </c>
      <c r="U79">
        <f>LEN(TRIM(L79))-LEN(SUBSTITUTE(TRIM(L79)," ",""))+1</f>
        <v/>
      </c>
    </row>
    <row r="80">
      <c r="C80" t="inlineStr">
        <is>
          <t>Finals</t>
        </is>
      </c>
      <c r="D80" t="inlineStr">
        <is>
          <t>evaluate the benefits and challenges of ASEAN economic integration for Philippine businesses</t>
        </is>
      </c>
      <c r="E80" t="inlineStr">
        <is>
          <t>Week 14 — Regional Economic Integration and Trade Blocs v2</t>
        </is>
      </c>
      <c r="F80" t="inlineStr">
        <is>
          <t>The source states that full labor mobility remains unrealized in ASEAN despite Mutual Recognition Arrangements (MRAs). Which feature of a common market are these MRAs intended to help implement?</t>
        </is>
      </c>
      <c r="G80" t="inlineStr">
        <is>
          <t>Multiple Choice</t>
        </is>
      </c>
      <c r="H80" t="inlineStr">
        <is>
          <t>Understanding</t>
        </is>
      </c>
      <c r="I80" t="inlineStr">
        <is>
          <t>Free movement of workers, so professionals can practice in any member state.</t>
        </is>
      </c>
      <c r="J80" t="inlineStr">
        <is>
          <t>Free movement of capital, allowing investment to flow to the highest returns.</t>
        </is>
      </c>
      <c r="K80" t="inlineStr">
        <is>
          <t>Free movement of goods and services across member borders.</t>
        </is>
      </c>
      <c r="L80" t="inlineStr">
        <is>
          <t>Harmonized monetary policies, aligning interest rates across the region.</t>
        </is>
      </c>
      <c r="M80" t="inlineStr">
        <is>
          <t>A</t>
        </is>
      </c>
      <c r="N80" t="inlineStr">
        <is>
          <t>Free movement of workers, so professionals can practice in any member state.</t>
        </is>
      </c>
      <c r="O80">
        <f>ROUND(SUM(Q80:U80)*1.3,0)</f>
        <v/>
      </c>
      <c r="Q80">
        <f>LEN(TRIM(F80))-LEN(SUBSTITUTE(TRIM(F80)," ",""))+1</f>
        <v/>
      </c>
      <c r="R80">
        <f>LEN(TRIM(I80))-LEN(SUBSTITUTE(TRIM(I80)," ",""))+1</f>
        <v/>
      </c>
      <c r="S80">
        <f>LEN(TRIM(J80))-LEN(SUBSTITUTE(TRIM(J80)," ",""))+1</f>
        <v/>
      </c>
      <c r="T80">
        <f>LEN(TRIM(K80))-LEN(SUBSTITUTE(TRIM(K80)," ",""))+1</f>
        <v/>
      </c>
      <c r="U80">
        <f>LEN(TRIM(L80))-LEN(SUBSTITUTE(TRIM(L80)," ",""))+1</f>
        <v/>
      </c>
    </row>
    <row r="81">
      <c r="C81" t="inlineStr">
        <is>
          <t>Finals</t>
        </is>
      </c>
      <c r="D81" t="inlineStr">
        <is>
          <t>explain the levels and forms of regional economic integration</t>
        </is>
      </c>
      <c r="E81" t="inlineStr">
        <is>
          <t>Week 14 — Regional Economic Integration and Trade Blocs</t>
        </is>
      </c>
      <c r="F81" t="inlineStr">
        <is>
          <t>When a customs union is formed, a nation may stop producing a good domestically and instead import it from a partner country that manufactures it at lower cost. What concept did Jacob Viner introduce for this phenomenon?</t>
        </is>
      </c>
      <c r="G81" t="inlineStr">
        <is>
          <t>Multiple Choice</t>
        </is>
      </c>
      <c r="H81" t="inlineStr">
        <is>
          <t>Remembering</t>
        </is>
      </c>
      <c r="I81" t="inlineStr">
        <is>
          <t>Trade diversion, as higher-cost partner goods displace non-member imports</t>
        </is>
      </c>
      <c r="J81" t="inlineStr">
        <is>
          <t>Trade creation, as low-cost partner imports replace domestic output</t>
        </is>
      </c>
      <c r="K81" t="inlineStr">
        <is>
          <t>Economic union, featuring a common currency and policy coordination</t>
        </is>
      </c>
      <c r="L81" t="inlineStr">
        <is>
          <t>Common market, allowing free movement of factors and goods</t>
        </is>
      </c>
      <c r="M81" t="inlineStr">
        <is>
          <t>B</t>
        </is>
      </c>
      <c r="N81" t="inlineStr">
        <is>
          <t>Trade creation, as low-cost partner imports replace domestic output</t>
        </is>
      </c>
      <c r="O81">
        <f>ROUND(SUM(Q81:U81)*1.3,0)</f>
        <v/>
      </c>
      <c r="Q81">
        <f>LEN(TRIM(F81))-LEN(SUBSTITUTE(TRIM(F81)," ",""))+1</f>
        <v/>
      </c>
      <c r="R81">
        <f>LEN(TRIM(I81))-LEN(SUBSTITUTE(TRIM(I81)," ",""))+1</f>
        <v/>
      </c>
      <c r="S81">
        <f>LEN(TRIM(J81))-LEN(SUBSTITUTE(TRIM(J81)," ",""))+1</f>
        <v/>
      </c>
      <c r="T81">
        <f>LEN(TRIM(K81))-LEN(SUBSTITUTE(TRIM(K81)," ",""))+1</f>
        <v/>
      </c>
      <c r="U81">
        <f>LEN(TRIM(L81))-LEN(SUBSTITUTE(TRIM(L81)," ",""))+1</f>
        <v/>
      </c>
    </row>
    <row r="82">
      <c r="C82" t="inlineStr">
        <is>
          <t>Finals</t>
        </is>
      </c>
      <c r="D82" t="inlineStr">
        <is>
          <t>explain the levels and forms of regional economic integration</t>
        </is>
      </c>
      <c r="E82" t="inlineStr">
        <is>
          <t>Week 14 — Regional Economic Integration and Trade Blocs</t>
        </is>
      </c>
      <c r="F82" t="inlineStr">
        <is>
          <t>Suppose a country initially imports textiles from a highly efficient non-member, but after joining a regional trade bloc it switches to a less efficient bloc member due to tariff preferences. Which concept does this scenario illustrate?</t>
        </is>
      </c>
      <c r="G82" t="inlineStr">
        <is>
          <t>Multiple Choice</t>
        </is>
      </c>
      <c r="H82" t="inlineStr">
        <is>
          <t>Applying</t>
        </is>
      </c>
      <c r="I82" t="inlineStr">
        <is>
          <t>Trade creation, which shifts sourcing to a more efficient member</t>
        </is>
      </c>
      <c r="J82" t="inlineStr">
        <is>
          <t>Trade diversion, which redirects trade to a higher-cost member</t>
        </is>
      </c>
      <c r="K82" t="inlineStr">
        <is>
          <t>Economic integration, which deepens cooperation among members</t>
        </is>
      </c>
      <c r="L82" t="inlineStr">
        <is>
          <t>Customs union, which establishes a common external tariff</t>
        </is>
      </c>
      <c r="M82" t="inlineStr">
        <is>
          <t>B</t>
        </is>
      </c>
      <c r="N82" t="inlineStr">
        <is>
          <t>Trade diversion, which redirects trade to a higher-cost member</t>
        </is>
      </c>
      <c r="O82">
        <f>ROUND(SUM(Q82:U82)*1.3,0)</f>
        <v/>
      </c>
      <c r="Q82">
        <f>LEN(TRIM(F82))-LEN(SUBSTITUTE(TRIM(F82)," ",""))+1</f>
        <v/>
      </c>
      <c r="R82">
        <f>LEN(TRIM(I82))-LEN(SUBSTITUTE(TRIM(I82)," ",""))+1</f>
        <v/>
      </c>
      <c r="S82">
        <f>LEN(TRIM(J82))-LEN(SUBSTITUTE(TRIM(J82)," ",""))+1</f>
        <v/>
      </c>
      <c r="T82">
        <f>LEN(TRIM(K82))-LEN(SUBSTITUTE(TRIM(K82)," ",""))+1</f>
        <v/>
      </c>
      <c r="U82">
        <f>LEN(TRIM(L82))-LEN(SUBSTITUTE(TRIM(L82)," ",""))+1</f>
        <v/>
      </c>
    </row>
    <row r="83">
      <c r="C83" t="inlineStr">
        <is>
          <t>Finals</t>
        </is>
      </c>
      <c r="D83" t="inlineStr">
        <is>
          <t>compare major trade blocs: EU, ASEAN, USMCA, AfCFTA</t>
        </is>
      </c>
      <c r="E83" t="inlineStr">
        <is>
          <t>Week 14 — Regional Economic Integration and Trade Blocs</t>
        </is>
      </c>
      <c r="F83" t="inlineStr">
        <is>
          <t>The ASEAN Economic Community blueprint aims for free movement of goods, services, investment, and skilled labor. In the hierarchy of regional integration, this goal most closely corresponds to which level?</t>
        </is>
      </c>
      <c r="G83" t="inlineStr">
        <is>
          <t>Multiple Choice</t>
        </is>
      </c>
      <c r="H83" t="inlineStr">
        <is>
          <t>Applying</t>
        </is>
      </c>
      <c r="I83" t="inlineStr">
        <is>
          <t>Free trade area, eliminating tariffs on intra-bloc trade</t>
        </is>
      </c>
      <c r="J83" t="inlineStr">
        <is>
          <t>Common market, combining free trade with factor mobility</t>
        </is>
      </c>
      <c r="K83" t="inlineStr">
        <is>
          <t>Customs union, adopting a unified external tariff</t>
        </is>
      </c>
      <c r="L83" t="inlineStr">
        <is>
          <t>Economic union, requiring harmonization of monetary policies</t>
        </is>
      </c>
      <c r="M83" t="inlineStr">
        <is>
          <t>B</t>
        </is>
      </c>
      <c r="N83" t="inlineStr">
        <is>
          <t>Common market, combining free trade with factor mobility</t>
        </is>
      </c>
      <c r="O83">
        <f>ROUND(SUM(Q83:U83)*1.3,0)</f>
        <v/>
      </c>
      <c r="Q83">
        <f>LEN(TRIM(F83))-LEN(SUBSTITUTE(TRIM(F83)," ",""))+1</f>
        <v/>
      </c>
      <c r="R83">
        <f>LEN(TRIM(I83))-LEN(SUBSTITUTE(TRIM(I83)," ",""))+1</f>
        <v/>
      </c>
      <c r="S83">
        <f>LEN(TRIM(J83))-LEN(SUBSTITUTE(TRIM(J83)," ",""))+1</f>
        <v/>
      </c>
      <c r="T83">
        <f>LEN(TRIM(K83))-LEN(SUBSTITUTE(TRIM(K83)," ",""))+1</f>
        <v/>
      </c>
      <c r="U83">
        <f>LEN(TRIM(L83))-LEN(SUBSTITUTE(TRIM(L83)," ",""))+1</f>
        <v/>
      </c>
    </row>
    <row r="84">
      <c r="C84" t="inlineStr">
        <is>
          <t>Finals</t>
        </is>
      </c>
      <c r="D84" t="inlineStr">
        <is>
          <t>explain the levels and forms of regional economic integration</t>
        </is>
      </c>
      <c r="E84" t="inlineStr">
        <is>
          <t>Week 14 — Regional Economic Integration and Trade Blocs</t>
        </is>
      </c>
      <c r="F84" t="inlineStr">
        <is>
          <t>Regional economic integration progresses through several distinct stages. Which sequence correctly orders these levels from the shallowest to the deepest form of cooperation?</t>
        </is>
      </c>
      <c r="G84" t="inlineStr">
        <is>
          <t>Multiple Choice</t>
        </is>
      </c>
      <c r="H84" t="inlineStr">
        <is>
          <t>Remembering</t>
        </is>
      </c>
      <c r="I84" t="inlineStr">
        <is>
          <t>Economic union → customs union → free trade area → common market</t>
        </is>
      </c>
      <c r="J84" t="inlineStr">
        <is>
          <t>Free trade area → common market → customs union → economic union</t>
        </is>
      </c>
      <c r="K84" t="inlineStr">
        <is>
          <t>Customs union → free trade area → economic union → common market</t>
        </is>
      </c>
      <c r="L84" t="inlineStr">
        <is>
          <t>Free trade area → customs union → common market → economic union</t>
        </is>
      </c>
      <c r="M84" t="inlineStr">
        <is>
          <t>D</t>
        </is>
      </c>
      <c r="N84" t="inlineStr">
        <is>
          <t>Free trade area → customs union → common market → economic union</t>
        </is>
      </c>
      <c r="O84">
        <f>ROUND(SUM(Q84:U84)*1.3,0)</f>
        <v/>
      </c>
      <c r="Q84">
        <f>LEN(TRIM(F84))-LEN(SUBSTITUTE(TRIM(F84)," ",""))+1</f>
        <v/>
      </c>
      <c r="R84">
        <f>LEN(TRIM(I84))-LEN(SUBSTITUTE(TRIM(I84)," ",""))+1</f>
        <v/>
      </c>
      <c r="S84">
        <f>LEN(TRIM(J84))-LEN(SUBSTITUTE(TRIM(J84)," ",""))+1</f>
        <v/>
      </c>
      <c r="T84">
        <f>LEN(TRIM(K84))-LEN(SUBSTITUTE(TRIM(K84)," ",""))+1</f>
        <v/>
      </c>
      <c r="U84">
        <f>LEN(TRIM(L84))-LEN(SUBSTITUTE(TRIM(L84)," ",""))+1</f>
        <v/>
      </c>
    </row>
    <row r="85">
      <c r="C85" t="inlineStr">
        <is>
          <t>Finals</t>
        </is>
      </c>
      <c r="D85" t="inlineStr">
        <is>
          <t>evaluate the benefits and challenges of ASEAN economic integration for Philippine businesses</t>
        </is>
      </c>
      <c r="E85" t="inlineStr">
        <is>
          <t>Week 14 — Regional Economic Integration and Trade Blocs</t>
        </is>
      </c>
      <c r="F85" t="inlineStr">
        <is>
          <t>Following the Philippine Senate's ratification of the Regional Comprehensive Economic Partnership (RCEP) in February 2023, what primary advantage do local firms gain?</t>
        </is>
      </c>
      <c r="G85" t="inlineStr">
        <is>
          <t>Multiple Choice</t>
        </is>
      </c>
      <c r="H85" t="inlineStr">
        <is>
          <t>Understanding</t>
        </is>
      </c>
      <c r="I85" t="inlineStr">
        <is>
          <t>Enhanced preferential market access across Asia-Pacific economies</t>
        </is>
      </c>
      <c r="J85" t="inlineStr">
        <is>
          <t>Simplified rules of origin for regional supply chain integration</t>
        </is>
      </c>
      <c r="K85" t="inlineStr">
        <is>
          <t>Access to preferential financing from the RCEP development fund</t>
        </is>
      </c>
      <c r="L85" t="inlineStr">
        <is>
          <t>Streamlined customs procedures reducing trade documentation costs</t>
        </is>
      </c>
      <c r="M85" t="inlineStr">
        <is>
          <t>A</t>
        </is>
      </c>
      <c r="N85" t="inlineStr">
        <is>
          <t>Enhanced preferential market access across Asia-Pacific economies</t>
        </is>
      </c>
      <c r="O85">
        <f>ROUND(SUM(Q85:U85)*1.3,0)</f>
        <v/>
      </c>
      <c r="Q85">
        <f>LEN(TRIM(F85))-LEN(SUBSTITUTE(TRIM(F85)," ",""))+1</f>
        <v/>
      </c>
      <c r="R85">
        <f>LEN(TRIM(I85))-LEN(SUBSTITUTE(TRIM(I85)," ",""))+1</f>
        <v/>
      </c>
      <c r="S85">
        <f>LEN(TRIM(J85))-LEN(SUBSTITUTE(TRIM(J85)," ",""))+1</f>
        <v/>
      </c>
      <c r="T85">
        <f>LEN(TRIM(K85))-LEN(SUBSTITUTE(TRIM(K85)," ",""))+1</f>
        <v/>
      </c>
      <c r="U85">
        <f>LEN(TRIM(L85))-LEN(SUBSTITUTE(TRIM(L85)," ",""))+1</f>
        <v/>
      </c>
    </row>
    <row r="86">
      <c r="C86" t="inlineStr">
        <is>
          <t>Finals</t>
        </is>
      </c>
      <c r="D86" t="inlineStr">
        <is>
          <t>evaluate the benefits and challenges of ASEAN economic integration for Philippine businesses</t>
        </is>
      </c>
      <c r="E86" t="inlineStr">
        <is>
          <t>Week 14 — Regional Economic Integration and Trade Blocs</t>
        </is>
      </c>
      <c r="F86" t="inlineStr">
        <is>
          <t>A Philippine electronics exporter currently uses ASEAN-Japan agreements to source inputs from Thailand. With RCEP now in effect, how might the firm optimally reconfigure its supply chain?</t>
        </is>
      </c>
      <c r="G86" t="inlineStr">
        <is>
          <t>Multiple Choice</t>
        </is>
      </c>
      <c r="H86" t="inlineStr">
        <is>
          <t>Applying</t>
        </is>
      </c>
      <c r="I86" t="inlineStr">
        <is>
          <t>Continue sourcing inputs primarily from its existing Thailand suppliers</t>
        </is>
      </c>
      <c r="J86" t="inlineStr">
        <is>
          <t>Establish new supplier relationships with ASEAN members outside Thailand</t>
        </is>
      </c>
      <c r="K86" t="inlineStr">
        <is>
          <t>Withdraw from the Japanese market due to heightened competition</t>
        </is>
      </c>
      <c r="L86" t="inlineStr">
        <is>
          <t>Source components from RCEP members like South Korea using cumulation rules</t>
        </is>
      </c>
      <c r="M86" t="inlineStr">
        <is>
          <t>D</t>
        </is>
      </c>
      <c r="N86" t="inlineStr">
        <is>
          <t>Source components from RCEP members like South Korea using cumulation rules</t>
        </is>
      </c>
      <c r="O86">
        <f>ROUND(SUM(Q86:U86)*1.3,0)</f>
        <v/>
      </c>
      <c r="Q86">
        <f>LEN(TRIM(F86))-LEN(SUBSTITUTE(TRIM(F86)," ",""))+1</f>
        <v/>
      </c>
      <c r="R86">
        <f>LEN(TRIM(I86))-LEN(SUBSTITUTE(TRIM(I86)," ",""))+1</f>
        <v/>
      </c>
      <c r="S86">
        <f>LEN(TRIM(J86))-LEN(SUBSTITUTE(TRIM(J86)," ",""))+1</f>
        <v/>
      </c>
      <c r="T86">
        <f>LEN(TRIM(K86))-LEN(SUBSTITUTE(TRIM(K86)," ",""))+1</f>
        <v/>
      </c>
      <c r="U86">
        <f>LEN(TRIM(L86))-LEN(SUBSTITUTE(TRIM(L86)," ",""))+1</f>
        <v/>
      </c>
    </row>
    <row r="87">
      <c r="C87" t="inlineStr">
        <is>
          <t>Finals</t>
        </is>
      </c>
      <c r="D87" t="inlineStr">
        <is>
          <t>compare major trade blocs: EU, ASEAN, USMCA, AfCFTA</t>
        </is>
      </c>
      <c r="E87" t="inlineStr">
        <is>
          <t>Week 14 — Regional Economic Integration and Trade Blocs</t>
        </is>
      </c>
      <c r="F87" t="inlineStr">
        <is>
          <t>Considering the spectrum of regional economic integration, what key feature distinguishes the European Union from the United States-Mexico-Canada Agreement (USMCA)?</t>
        </is>
      </c>
      <c r="G87" t="inlineStr">
        <is>
          <t>Multiple Choice</t>
        </is>
      </c>
      <c r="H87" t="inlineStr">
        <is>
          <t>Analyzing</t>
        </is>
      </c>
      <c r="I87" t="inlineStr">
        <is>
          <t>Both are customs unions that apply a common external tariff on non-members</t>
        </is>
      </c>
      <c r="J87" t="inlineStr">
        <is>
          <t>The EU is an economic union while USMCA is a free trade area</t>
        </is>
      </c>
      <c r="K87" t="inlineStr">
        <is>
          <t>The EU is a customs union, while USMCA is a common market</t>
        </is>
      </c>
      <c r="L87" t="inlineStr">
        <is>
          <t>USMCA requires member states to adopt a shared regional currency</t>
        </is>
      </c>
      <c r="M87" t="inlineStr">
        <is>
          <t>B</t>
        </is>
      </c>
      <c r="N87" t="inlineStr">
        <is>
          <t>The EU is an economic union while USMCA is a free trade area</t>
        </is>
      </c>
      <c r="O87">
        <f>ROUND(SUM(Q87:U87)*1.3,0)</f>
        <v/>
      </c>
      <c r="Q87">
        <f>LEN(TRIM(F87))-LEN(SUBSTITUTE(TRIM(F87)," ",""))+1</f>
        <v/>
      </c>
      <c r="R87">
        <f>LEN(TRIM(I87))-LEN(SUBSTITUTE(TRIM(I87)," ",""))+1</f>
        <v/>
      </c>
      <c r="S87">
        <f>LEN(TRIM(J87))-LEN(SUBSTITUTE(TRIM(J87)," ",""))+1</f>
        <v/>
      </c>
      <c r="T87">
        <f>LEN(TRIM(K87))-LEN(SUBSTITUTE(TRIM(K87)," ",""))+1</f>
        <v/>
      </c>
      <c r="U87">
        <f>LEN(TRIM(L87))-LEN(SUBSTITUTE(TRIM(L87)," ",""))+1</f>
        <v/>
      </c>
    </row>
    <row r="88">
      <c r="C88" t="inlineStr">
        <is>
          <t>Finals</t>
        </is>
      </c>
      <c r="D88" t="inlineStr">
        <is>
          <t>evaluate the benefits and challenges of ASEAN economic integration for Philippine businesses</t>
        </is>
      </c>
      <c r="E88" t="inlineStr">
        <is>
          <t>Week 14 — Regional Economic Integration and Trade Blocs</t>
        </is>
      </c>
      <c r="F88" t="inlineStr">
        <is>
          <t>A Philippine furniture manufacturer that previously served only the domestic market faces new competitive pressures as ASEAN integration deepens. What is a direct challenge arising from this regional process?</t>
        </is>
      </c>
      <c r="G88" t="inlineStr">
        <is>
          <t>Multiple Choice</t>
        </is>
      </c>
      <c r="H88" t="inlineStr">
        <is>
          <t>Evaluating</t>
        </is>
      </c>
      <c r="I88" t="inlineStr">
        <is>
          <t>Influx of lower-priced goods from fellow ASEAN member countries</t>
        </is>
      </c>
      <c r="J88" t="inlineStr">
        <is>
          <t>Reduced labor mobility within ASEAN, limiting the firm's access to skilled workers</t>
        </is>
      </c>
      <c r="K88" t="inlineStr">
        <is>
          <t>Pressure to comply with ASEAN-wide product standardization requirements</t>
        </is>
      </c>
      <c r="L88" t="inlineStr">
        <is>
          <t>Increased competition from regional brands with pan-ASEAN distribution networks</t>
        </is>
      </c>
      <c r="M88" t="inlineStr">
        <is>
          <t>A</t>
        </is>
      </c>
      <c r="N88" t="inlineStr">
        <is>
          <t>Influx of lower-priced goods from fellow ASEAN member countries</t>
        </is>
      </c>
      <c r="O88">
        <f>ROUND(SUM(Q88:U88)*1.3,0)</f>
        <v/>
      </c>
      <c r="Q88">
        <f>LEN(TRIM(F88))-LEN(SUBSTITUTE(TRIM(F88)," ",""))+1</f>
        <v/>
      </c>
      <c r="R88">
        <f>LEN(TRIM(I88))-LEN(SUBSTITUTE(TRIM(I88)," ",""))+1</f>
        <v/>
      </c>
      <c r="S88">
        <f>LEN(TRIM(J88))-LEN(SUBSTITUTE(TRIM(J88)," ",""))+1</f>
        <v/>
      </c>
      <c r="T88">
        <f>LEN(TRIM(K88))-LEN(SUBSTITUTE(TRIM(K88)," ",""))+1</f>
        <v/>
      </c>
      <c r="U88">
        <f>LEN(TRIM(L88))-LEN(SUBSTITUTE(TRIM(L88)," ",""))+1</f>
        <v/>
      </c>
    </row>
    <row r="89">
      <c r="C89" t="inlineStr">
        <is>
          <t>Finals</t>
        </is>
      </c>
      <c r="D89" t="inlineStr">
        <is>
          <t>compare major trade blocs: EU, ASEAN, USMCA, AfCFTA</t>
        </is>
      </c>
      <c r="E89" t="inlineStr">
        <is>
          <t>Week 14 — Regional Economic Integration and Trade Blocs</t>
        </is>
      </c>
      <c r="F89" t="inlineStr">
        <is>
          <t>Among the major trade blocs studied—the EU, USMCA, ASEAN, and AfCFTA—which one has achieved the deepest integration, featuring a common currency and coordinated economic policies for most members?</t>
        </is>
      </c>
      <c r="G89" t="inlineStr">
        <is>
          <t>Multiple Choice</t>
        </is>
      </c>
      <c r="H89" t="inlineStr">
        <is>
          <t>Remembering</t>
        </is>
      </c>
      <c r="I89" t="inlineStr">
        <is>
          <t>United States-Mexico-Canada Agreement</t>
        </is>
      </c>
      <c r="J89" t="inlineStr">
        <is>
          <t>ASEAN Economic Community</t>
        </is>
      </c>
      <c r="K89" t="inlineStr">
        <is>
          <t>The European Union</t>
        </is>
      </c>
      <c r="L89" t="inlineStr">
        <is>
          <t>African Continental Free Trade Area</t>
        </is>
      </c>
      <c r="M89" t="inlineStr">
        <is>
          <t>C</t>
        </is>
      </c>
      <c r="N89" t="inlineStr">
        <is>
          <t>The European Union</t>
        </is>
      </c>
      <c r="O89">
        <f>ROUND(SUM(Q89:U89)*1.3,0)</f>
        <v/>
      </c>
      <c r="Q89">
        <f>LEN(TRIM(F89))-LEN(SUBSTITUTE(TRIM(F89)," ",""))+1</f>
        <v/>
      </c>
      <c r="R89">
        <f>LEN(TRIM(I89))-LEN(SUBSTITUTE(TRIM(I89)," ",""))+1</f>
        <v/>
      </c>
      <c r="S89">
        <f>LEN(TRIM(J89))-LEN(SUBSTITUTE(TRIM(J89)," ",""))+1</f>
        <v/>
      </c>
      <c r="T89">
        <f>LEN(TRIM(K89))-LEN(SUBSTITUTE(TRIM(K89)," ",""))+1</f>
        <v/>
      </c>
      <c r="U89">
        <f>LEN(TRIM(L89))-LEN(SUBSTITUTE(TRIM(L89)," ",""))+1</f>
        <v/>
      </c>
    </row>
    <row r="90">
      <c r="C90" t="inlineStr">
        <is>
          <t>Finals</t>
        </is>
      </c>
      <c r="D90" t="inlineStr">
        <is>
          <t>explain ethical frameworks and CSR concepts in the context of international business</t>
        </is>
      </c>
      <c r="E90" t="inlineStr">
        <is>
          <t>Week 15 — International Business Ethics and CSR</t>
        </is>
      </c>
      <c r="F90" t="inlineStr">
        <is>
          <t>A multinational firm is considering relocating its Philippine factory to a lower-wage country. It is most concerned with whether the costs of the move are disproportionately borne by the least advantaged stakeholders. Which ethical framework is this concern most aligned with?</t>
        </is>
      </c>
      <c r="G90" t="inlineStr">
        <is>
          <t>Multiple Choice</t>
        </is>
      </c>
      <c r="H90" t="inlineStr">
        <is>
          <t>Applying</t>
        </is>
      </c>
      <c r="I90" t="inlineStr">
        <is>
          <t>Utilitarianism, which weighs aggregate benefits and harms</t>
        </is>
      </c>
      <c r="J90" t="inlineStr">
        <is>
          <t>Rights-based ethics, focusing on inviolable individual entitlements</t>
        </is>
      </c>
      <c r="K90" t="inlineStr">
        <is>
          <t>Virtue ethics, centered on the character of decision-makers</t>
        </is>
      </c>
      <c r="L90" t="inlineStr">
        <is>
          <t>Justice-based ethics, emphasizing fair distribution of burdens</t>
        </is>
      </c>
      <c r="M90" t="inlineStr">
        <is>
          <t>D</t>
        </is>
      </c>
      <c r="N90" t="inlineStr">
        <is>
          <t>Justice-based ethics, emphasizing fair distribution of burdens</t>
        </is>
      </c>
      <c r="O90">
        <f>ROUND(SUM(Q90:U90)*1.3,0)</f>
        <v/>
      </c>
      <c r="Q90">
        <f>LEN(TRIM(F90))-LEN(SUBSTITUTE(TRIM(F90)," ",""))+1</f>
        <v/>
      </c>
      <c r="R90">
        <f>LEN(TRIM(I90))-LEN(SUBSTITUTE(TRIM(I90)," ",""))+1</f>
        <v/>
      </c>
      <c r="S90">
        <f>LEN(TRIM(J90))-LEN(SUBSTITUTE(TRIM(J90)," ",""))+1</f>
        <v/>
      </c>
      <c r="T90">
        <f>LEN(TRIM(K90))-LEN(SUBSTITUTE(TRIM(K90)," ",""))+1</f>
        <v/>
      </c>
      <c r="U90">
        <f>LEN(TRIM(L90))-LEN(SUBSTITUTE(TRIM(L90)," ",""))+1</f>
        <v/>
      </c>
    </row>
    <row r="91">
      <c r="C91" t="inlineStr">
        <is>
          <t>Finals</t>
        </is>
      </c>
      <c r="D91" t="inlineStr">
        <is>
          <t>explain ethical frameworks and CSR concepts in the context of international business</t>
        </is>
      </c>
      <c r="E91" t="inlineStr">
        <is>
          <t>Week 15 — International Business Ethics and CSR</t>
        </is>
      </c>
      <c r="F91" t="inlineStr">
        <is>
          <t>An international apparel brand discovers that a Philippine subcontractor forces workers into 16-hour shifts in unsafe buildings. The brand decides to terminate the contract despite lower profits, citing workers' inviolable rights. Which ethical framework is most aligned with this decision?</t>
        </is>
      </c>
      <c r="G91" t="inlineStr">
        <is>
          <t>Multiple Choice</t>
        </is>
      </c>
      <c r="H91" t="inlineStr">
        <is>
          <t>Applying</t>
        </is>
      </c>
      <c r="I91" t="inlineStr">
        <is>
          <t>Utilitarianism</t>
        </is>
      </c>
      <c r="J91" t="inlineStr">
        <is>
          <t>Rights-based ethics</t>
        </is>
      </c>
      <c r="K91" t="inlineStr">
        <is>
          <t>Justice-based ethics</t>
        </is>
      </c>
      <c r="L91" t="inlineStr">
        <is>
          <t>Virtue ethics</t>
        </is>
      </c>
      <c r="M91" t="inlineStr">
        <is>
          <t>B</t>
        </is>
      </c>
      <c r="N91" t="inlineStr">
        <is>
          <t>Rights-based ethics</t>
        </is>
      </c>
      <c r="O91">
        <f>ROUND(SUM(Q91:U91)*1.3,0)</f>
        <v/>
      </c>
      <c r="Q91">
        <f>LEN(TRIM(F91))-LEN(SUBSTITUTE(TRIM(F91)," ",""))+1</f>
        <v/>
      </c>
      <c r="R91">
        <f>LEN(TRIM(I91))-LEN(SUBSTITUTE(TRIM(I91)," ",""))+1</f>
        <v/>
      </c>
      <c r="S91">
        <f>LEN(TRIM(J91))-LEN(SUBSTITUTE(TRIM(J91)," ",""))+1</f>
        <v/>
      </c>
      <c r="T91">
        <f>LEN(TRIM(K91))-LEN(SUBSTITUTE(TRIM(K91)," ",""))+1</f>
        <v/>
      </c>
      <c r="U91">
        <f>LEN(TRIM(L91))-LEN(SUBSTITUTE(TRIM(L91)," ",""))+1</f>
        <v/>
      </c>
    </row>
    <row r="92">
      <c r="C92" t="inlineStr">
        <is>
          <t>Finals</t>
        </is>
      </c>
      <c r="D92" t="inlineStr">
        <is>
          <t>explain ethical frameworks and CSR concepts in the context of international business</t>
        </is>
      </c>
      <c r="E92" t="inlineStr">
        <is>
          <t>Week 15 — International Business Ethics and CSR</t>
        </is>
      </c>
      <c r="F92" t="inlineStr">
        <is>
          <t>A global hotel chain installs extensive monitoring to protect company property, inadvertently recording private employee conversations. A rights-based ethical analysis would identify a direct conflict between which two rights?</t>
        </is>
      </c>
      <c r="G92" t="inlineStr">
        <is>
          <t>Multiple Choice</t>
        </is>
      </c>
      <c r="H92" t="inlineStr">
        <is>
          <t>Applying</t>
        </is>
      </c>
      <c r="I92" t="inlineStr">
        <is>
          <t>Right to free speech and right to privacy</t>
        </is>
      </c>
      <c r="J92" t="inlineStr">
        <is>
          <t>Right to property and right to privacy</t>
        </is>
      </c>
      <c r="K92" t="inlineStr">
        <is>
          <t>Right to life and right to liberty</t>
        </is>
      </c>
      <c r="L92" t="inlineStr">
        <is>
          <t>Right to education and right to fair treatment</t>
        </is>
      </c>
      <c r="M92" t="inlineStr">
        <is>
          <t>A</t>
        </is>
      </c>
      <c r="N92" t="inlineStr">
        <is>
          <t>Right to free speech and right to privacy</t>
        </is>
      </c>
      <c r="O92">
        <f>ROUND(SUM(Q92:U92)*1.3,0)</f>
        <v/>
      </c>
      <c r="Q92">
        <f>LEN(TRIM(F92))-LEN(SUBSTITUTE(TRIM(F92)," ",""))+1</f>
        <v/>
      </c>
      <c r="R92">
        <f>LEN(TRIM(I92))-LEN(SUBSTITUTE(TRIM(I92)," ",""))+1</f>
        <v/>
      </c>
      <c r="S92">
        <f>LEN(TRIM(J92))-LEN(SUBSTITUTE(TRIM(J92)," ",""))+1</f>
        <v/>
      </c>
      <c r="T92">
        <f>LEN(TRIM(K92))-LEN(SUBSTITUTE(TRIM(K92)," ",""))+1</f>
        <v/>
      </c>
      <c r="U92">
        <f>LEN(TRIM(L92))-LEN(SUBSTITUTE(TRIM(L92)," ",""))+1</f>
        <v/>
      </c>
    </row>
    <row r="93">
      <c r="C93" t="inlineStr">
        <is>
          <t>Finals</t>
        </is>
      </c>
      <c r="D93" t="inlineStr">
        <is>
          <t>Identify countries in different emerging market groupings</t>
        </is>
      </c>
      <c r="E93" t="inlineStr">
        <is>
          <t>Week 16 — Emerging Markets and Innovation in Global Business</t>
        </is>
      </c>
      <c r="F93" t="inlineStr">
        <is>
          <t>The MINT and Next Eleven groupings, identified by Goldman Sachs, highlight emerging economies with favorable demographics and growth potential. Which nation is a member of both classifications?</t>
        </is>
      </c>
      <c r="G93" t="inlineStr">
        <is>
          <t>Multiple Choice</t>
        </is>
      </c>
      <c r="H93" t="inlineStr">
        <is>
          <t>Remembering</t>
        </is>
      </c>
      <c r="I93" t="inlineStr">
        <is>
          <t>South Africa, a mineral-rich BRICS member with inequality</t>
        </is>
      </c>
      <c r="J93" t="inlineStr">
        <is>
          <t>Brazil, an economy dependent on commodities and resources</t>
        </is>
      </c>
      <c r="K93" t="inlineStr">
        <is>
          <t>Indonesia, the largest ASEAN economy with a young workforce</t>
        </is>
      </c>
      <c r="L93" t="inlineStr">
        <is>
          <t>Vietnam, a manufacturing hub with rapid export growth</t>
        </is>
      </c>
      <c r="M93" t="inlineStr">
        <is>
          <t>C</t>
        </is>
      </c>
      <c r="N93" t="inlineStr">
        <is>
          <t>Indonesia, the largest ASEAN economy with a young workforce</t>
        </is>
      </c>
      <c r="O93">
        <f>ROUND(SUM(Q93:U93)*1.3,0)</f>
        <v/>
      </c>
      <c r="Q93">
        <f>LEN(TRIM(F93))-LEN(SUBSTITUTE(TRIM(F93)," ",""))+1</f>
        <v/>
      </c>
      <c r="R93">
        <f>LEN(TRIM(I93))-LEN(SUBSTITUTE(TRIM(I93)," ",""))+1</f>
        <v/>
      </c>
      <c r="S93">
        <f>LEN(TRIM(J93))-LEN(SUBSTITUTE(TRIM(J93)," ",""))+1</f>
        <v/>
      </c>
      <c r="T93">
        <f>LEN(TRIM(K93))-LEN(SUBSTITUTE(TRIM(K93)," ",""))+1</f>
        <v/>
      </c>
      <c r="U93">
        <f>LEN(TRIM(L93))-LEN(SUBSTITUTE(TRIM(L93)," ",""))+1</f>
        <v/>
      </c>
    </row>
    <row r="94">
      <c r="C94" t="inlineStr">
        <is>
          <t>Finals</t>
        </is>
      </c>
      <c r="D94" t="inlineStr">
        <is>
          <t>Explain the limitations of broad emerging market categories</t>
        </is>
      </c>
      <c r="E94" t="inlineStr">
        <is>
          <t>Week 16 — Emerging Markets and Innovation in Global Business</t>
        </is>
      </c>
      <c r="F94" t="inlineStr">
        <is>
          <t>The BRICS classification, though popular, is said to obscure critical differences among its members. Which of the following best describes the reason for this limitation?</t>
        </is>
      </c>
      <c r="G94" t="inlineStr">
        <is>
          <t>Multiple Choice</t>
        </is>
      </c>
      <c r="H94" t="inlineStr">
        <is>
          <t>Understanding</t>
        </is>
      </c>
      <c r="I94" t="inlineStr">
        <is>
          <t>It groups countries based on their export-oriented growth strategies</t>
        </is>
      </c>
      <c r="J94" t="inlineStr">
        <is>
          <t>It fails to capture differences in institutional development among members</t>
        </is>
      </c>
      <c r="K94" t="inlineStr">
        <is>
          <t>It omits some faster-growing emerging economies in Asia</t>
        </is>
      </c>
      <c r="L94" t="inlineStr">
        <is>
          <t>Member economies differ greatly in industrial specialization and structure</t>
        </is>
      </c>
      <c r="M94" t="inlineStr">
        <is>
          <t>D</t>
        </is>
      </c>
      <c r="N94" t="inlineStr">
        <is>
          <t>Member economies differ greatly in industrial specialization and structure</t>
        </is>
      </c>
      <c r="O94">
        <f>ROUND(SUM(Q94:U94)*1.3,0)</f>
        <v/>
      </c>
      <c r="Q94">
        <f>LEN(TRIM(F94))-LEN(SUBSTITUTE(TRIM(F94)," ",""))+1</f>
        <v/>
      </c>
      <c r="R94">
        <f>LEN(TRIM(I94))-LEN(SUBSTITUTE(TRIM(I94)," ",""))+1</f>
        <v/>
      </c>
      <c r="S94">
        <f>LEN(TRIM(J94))-LEN(SUBSTITUTE(TRIM(J94)," ",""))+1</f>
        <v/>
      </c>
      <c r="T94">
        <f>LEN(TRIM(K94))-LEN(SUBSTITUTE(TRIM(K94)," ",""))+1</f>
        <v/>
      </c>
      <c r="U94">
        <f>LEN(TRIM(L94))-LEN(SUBSTITUTE(TRIM(L94)," ",""))+1</f>
        <v/>
      </c>
    </row>
    <row r="95">
      <c r="C95" t="inlineStr">
        <is>
          <t>Finals</t>
        </is>
      </c>
      <c r="D95" t="inlineStr">
        <is>
          <t>Explain Base of the Pyramid business models</t>
        </is>
      </c>
      <c r="E95" t="inlineStr">
        <is>
          <t>Week 16 — Emerging Markets and Innovation in Global Business</t>
        </is>
      </c>
      <c r="F95" t="inlineStr">
        <is>
          <t>Which of the following is a key characteristic of the Base of the Pyramid (BOP) business model as described by C.K. Prahalad?</t>
        </is>
      </c>
      <c r="G95" t="inlineStr">
        <is>
          <t>Multiple Choice</t>
        </is>
      </c>
      <c r="H95" t="inlineStr">
        <is>
          <t>Understanding</t>
        </is>
      </c>
      <c r="I95" t="inlineStr">
        <is>
          <t>Using formal retail chains to ensure consistent product availability</t>
        </is>
      </c>
      <c r="J95" t="inlineStr">
        <is>
          <t>Focusing marketing efforts on middle- and high-income consumer segments</t>
        </is>
      </c>
      <c r="K95" t="inlineStr">
        <is>
          <t>Designing products in single-serve sachets to match irregular cash flows</t>
        </is>
      </c>
      <c r="L95" t="inlineStr">
        <is>
          <t>Addressing gaps in regulatory enforcement to reduce business risk</t>
        </is>
      </c>
      <c r="M95" t="inlineStr">
        <is>
          <t>C</t>
        </is>
      </c>
      <c r="N95" t="inlineStr">
        <is>
          <t>Designing products in single-serve sachets to match irregular cash flows</t>
        </is>
      </c>
      <c r="O95">
        <f>ROUND(SUM(Q95:U95)*1.3,0)</f>
        <v/>
      </c>
      <c r="Q95">
        <f>LEN(TRIM(F95))-LEN(SUBSTITUTE(TRIM(F95)," ",""))+1</f>
        <v/>
      </c>
      <c r="R95">
        <f>LEN(TRIM(I95))-LEN(SUBSTITUTE(TRIM(I95)," ",""))+1</f>
        <v/>
      </c>
      <c r="S95">
        <f>LEN(TRIM(J95))-LEN(SUBSTITUTE(TRIM(J95)," ",""))+1</f>
        <v/>
      </c>
      <c r="T95">
        <f>LEN(TRIM(K95))-LEN(SUBSTITUTE(TRIM(K95)," ",""))+1</f>
        <v/>
      </c>
      <c r="U95">
        <f>LEN(TRIM(L95))-LEN(SUBSTITUTE(TRIM(L95)," ",""))+1</f>
        <v/>
      </c>
    </row>
    <row r="96">
      <c r="C96" t="inlineStr">
        <is>
          <t>Finals</t>
        </is>
      </c>
      <c r="D96" t="inlineStr">
        <is>
          <t>Apply Base of the Pyramid business model concept to business scenarios</t>
        </is>
      </c>
      <c r="E96" t="inlineStr">
        <is>
          <t>Week 16 — Emerging Markets and Innovation in Global Business</t>
        </is>
      </c>
      <c r="F96" t="inlineStr">
        <is>
          <t>A Philippine consumer goods company introduces single-use sachet packaging for its household products and distributes them through a network of sari-sari stores in remote barangays. This business approach is most directly an example of which of the following?</t>
        </is>
      </c>
      <c r="G96" t="inlineStr">
        <is>
          <t>Multiple Choice</t>
        </is>
      </c>
      <c r="H96" t="inlineStr">
        <is>
          <t>Applying</t>
        </is>
      </c>
      <c r="I96" t="inlineStr">
        <is>
          <t>Base of the Pyramid business model</t>
        </is>
      </c>
      <c r="J96" t="inlineStr">
        <is>
          <t>Filling institutional voids in labor markets through skills training</t>
        </is>
      </c>
      <c r="K96" t="inlineStr">
        <is>
          <t>Leveraging the demographic dividend to expand the workforce</t>
        </is>
      </c>
      <c r="L96" t="inlineStr">
        <is>
          <t>Overcoming infrastructure gaps through public-private partnerships</t>
        </is>
      </c>
      <c r="M96" t="inlineStr">
        <is>
          <t>A</t>
        </is>
      </c>
      <c r="N96" t="inlineStr">
        <is>
          <t>Base of the Pyramid business model</t>
        </is>
      </c>
      <c r="O96">
        <f>ROUND(SUM(Q96:U96)*1.3,0)</f>
        <v/>
      </c>
      <c r="Q96">
        <f>LEN(TRIM(F96))-LEN(SUBSTITUTE(TRIM(F96)," ",""))+1</f>
        <v/>
      </c>
      <c r="R96">
        <f>LEN(TRIM(I96))-LEN(SUBSTITUTE(TRIM(I96)," ",""))+1</f>
        <v/>
      </c>
      <c r="S96">
        <f>LEN(TRIM(J96))-LEN(SUBSTITUTE(TRIM(J96)," ",""))+1</f>
        <v/>
      </c>
      <c r="T96">
        <f>LEN(TRIM(K96))-LEN(SUBSTITUTE(TRIM(K96)," ",""))+1</f>
        <v/>
      </c>
      <c r="U96">
        <f>LEN(TRIM(L96))-LEN(SUBSTITUTE(TRIM(L96)," ",""))+1</f>
        <v/>
      </c>
    </row>
    <row r="97">
      <c r="C97" t="inlineStr">
        <is>
          <t>Finals</t>
        </is>
      </c>
      <c r="D97" t="inlineStr">
        <is>
          <t>Apply carbon border adjustment mechanism requirements to business strategy</t>
        </is>
      </c>
      <c r="E97" t="inlineStr">
        <is>
          <t>Week 17 — Contemporary Issues and Future of International Business</t>
        </is>
      </c>
      <c r="F97" t="inlineStr">
        <is>
          <t>A Philippine steel exporter wants to avoid additional costs when selling to the EU under the carbon border adjustment mechanism. Which measure directly addresses this new regulatory requirement?</t>
        </is>
      </c>
      <c r="G97" t="inlineStr">
        <is>
          <t>Multiple Choice</t>
        </is>
      </c>
      <c r="H97" t="inlineStr">
        <is>
          <t>Applying</t>
        </is>
      </c>
      <c r="I97" t="inlineStr">
        <is>
          <t>Implement cross-border data flow restrictions.</t>
        </is>
      </c>
      <c r="J97" t="inlineStr">
        <is>
          <t>Obtain source code disclosure exemptions.</t>
        </is>
      </c>
      <c r="K97" t="inlineStr">
        <is>
          <t>Reduce the carbon intensity of production.</t>
        </is>
      </c>
      <c r="L97" t="inlineStr">
        <is>
          <t>Pay digital services taxes to the EU.</t>
        </is>
      </c>
      <c r="M97" t="inlineStr">
        <is>
          <t>C</t>
        </is>
      </c>
      <c r="N97" t="inlineStr">
        <is>
          <t>Reduce the carbon intensity of production.</t>
        </is>
      </c>
      <c r="O97">
        <f>ROUND(SUM(Q97:U97)*1.3,0)</f>
        <v/>
      </c>
      <c r="Q97">
        <f>LEN(TRIM(F97))-LEN(SUBSTITUTE(TRIM(F97)," ",""))+1</f>
        <v/>
      </c>
      <c r="R97">
        <f>LEN(TRIM(I97))-LEN(SUBSTITUTE(TRIM(I97)," ",""))+1</f>
        <v/>
      </c>
      <c r="S97">
        <f>LEN(TRIM(J97))-LEN(SUBSTITUTE(TRIM(J97)," ",""))+1</f>
        <v/>
      </c>
      <c r="T97">
        <f>LEN(TRIM(K97))-LEN(SUBSTITUTE(TRIM(K97)," ",""))+1</f>
        <v/>
      </c>
      <c r="U97">
        <f>LEN(TRIM(L97))-LEN(SUBSTITUTE(TRIM(L97)," ",""))+1</f>
        <v/>
      </c>
    </row>
    <row r="98">
      <c r="C98" t="inlineStr">
        <is>
          <t>Finals</t>
        </is>
      </c>
      <c r="D98" t="inlineStr">
        <is>
          <t>Analyze the competitive pressures created by the global talent marketplace</t>
        </is>
      </c>
      <c r="E98" t="inlineStr">
        <is>
          <t>Week 17 — Contemporary Issues and Future of International Business</t>
        </is>
      </c>
      <c r="F98" t="inlineStr">
        <is>
          <t>A Filipino software developer benefits from remote work opportunities with foreign firms but also faces heightened competition because they now compete in which environment?</t>
        </is>
      </c>
      <c r="G98" t="inlineStr">
        <is>
          <t>Multiple Choice</t>
        </is>
      </c>
      <c r="H98" t="inlineStr">
        <is>
          <t>Understanding</t>
        </is>
      </c>
      <c r="I98" t="inlineStr">
        <is>
          <t>A globally distributed talent marketplace</t>
        </is>
      </c>
      <c r="J98" t="inlineStr">
        <is>
          <t>The domestic e-commerce roadmap</t>
        </is>
      </c>
      <c r="K98" t="inlineStr">
        <is>
          <t>Industries subject to carbon border taxes</t>
        </is>
      </c>
      <c r="L98" t="inlineStr">
        <is>
          <t>A market requiring source code disclosure</t>
        </is>
      </c>
      <c r="M98" t="inlineStr">
        <is>
          <t>A</t>
        </is>
      </c>
      <c r="N98" t="inlineStr">
        <is>
          <t>A globally distributed talent marketplace</t>
        </is>
      </c>
      <c r="O98">
        <f>ROUND(SUM(Q98:U98)*1.3,0)</f>
        <v/>
      </c>
      <c r="Q98">
        <f>LEN(TRIM(F98))-LEN(SUBSTITUTE(TRIM(F98)," ",""))+1</f>
        <v/>
      </c>
      <c r="R98">
        <f>LEN(TRIM(I98))-LEN(SUBSTITUTE(TRIM(I98)," ",""))+1</f>
        <v/>
      </c>
      <c r="S98">
        <f>LEN(TRIM(J98))-LEN(SUBSTITUTE(TRIM(J98)," ",""))+1</f>
        <v/>
      </c>
      <c r="T98">
        <f>LEN(TRIM(K98))-LEN(SUBSTITUTE(TRIM(K98)," ",""))+1</f>
        <v/>
      </c>
      <c r="U98">
        <f>LEN(TRIM(L98))-LEN(SUBSTITUTE(TRIM(L98)," ",""))+1</f>
        <v/>
      </c>
    </row>
    <row r="99">
      <c r="C99" t="inlineStr">
        <is>
          <t>Finals</t>
        </is>
      </c>
      <c r="D99" t="inlineStr">
        <is>
          <t>Explain the history, structure, and functions of the World Trade Organization</t>
        </is>
      </c>
      <c r="E99" t="inlineStr">
        <is>
          <t>Week 13 — The World Trading System — WTO and Trade Agreements</t>
        </is>
      </c>
      <c r="F99" t="inlineStr">
        <is>
          <t>The Kennedy Round (1964–1967) introduced which innovative approach to tariff negotiations?</t>
        </is>
      </c>
      <c r="G99" t="inlineStr">
        <is>
          <t>Multiple Choice</t>
        </is>
      </c>
      <c r="H99" t="inlineStr">
        <is>
          <t>Remembering</t>
        </is>
      </c>
      <c r="I99" t="inlineStr">
        <is>
          <t>Product-by-product bargaining</t>
        </is>
      </c>
      <c r="J99" t="inlineStr">
        <is>
          <t>Services liberalization</t>
        </is>
      </c>
      <c r="K99" t="inlineStr">
        <is>
          <t>Across-the-board cuts</t>
        </is>
      </c>
      <c r="L99" t="inlineStr">
        <is>
          <t>Intellectual property rules</t>
        </is>
      </c>
      <c r="M99" t="inlineStr">
        <is>
          <t>C</t>
        </is>
      </c>
      <c r="N99" t="inlineStr">
        <is>
          <t>Across-the-board cuts</t>
        </is>
      </c>
      <c r="O99">
        <f>ROUND(SUM(Q99:U99)*1.3,0)</f>
        <v/>
      </c>
      <c r="Q99">
        <f>LEN(TRIM(F99))-LEN(SUBSTITUTE(TRIM(F99)," ",""))+1</f>
        <v/>
      </c>
      <c r="R99">
        <f>LEN(TRIM(I99))-LEN(SUBSTITUTE(TRIM(I99)," ",""))+1</f>
        <v/>
      </c>
      <c r="S99">
        <f>LEN(TRIM(J99))-LEN(SUBSTITUTE(TRIM(J99)," ",""))+1</f>
        <v/>
      </c>
      <c r="T99">
        <f>LEN(TRIM(K99))-LEN(SUBSTITUTE(TRIM(K99)," ",""))+1</f>
        <v/>
      </c>
      <c r="U99">
        <f>LEN(TRIM(L99))-LEN(SUBSTITUTE(TRIM(L99)," ",""))+1</f>
        <v/>
      </c>
    </row>
    <row r="100">
      <c r="C100" t="inlineStr">
        <is>
          <t>Finals</t>
        </is>
      </c>
      <c r="D100" t="inlineStr">
        <is>
          <t>Explain the history, structure, and functions of the World Trade Organization</t>
        </is>
      </c>
      <c r="E100" t="inlineStr">
        <is>
          <t>Week 13 — The World Trading System — WTO and Trade Agreements</t>
        </is>
      </c>
      <c r="F100" t="inlineStr">
        <is>
          <t>In which two specialized capacities does the WTO General Council convene?</t>
        </is>
      </c>
      <c r="G100" t="inlineStr">
        <is>
          <t>Multiple Choice</t>
        </is>
      </c>
      <c r="H100" t="inlineStr">
        <is>
          <t>Understanding</t>
        </is>
      </c>
      <c r="I100" t="inlineStr">
        <is>
          <t>Dispute settlement and policy review</t>
        </is>
      </c>
      <c r="J100" t="inlineStr">
        <is>
          <t>Trade negotiations and tariff review</t>
        </is>
      </c>
      <c r="K100" t="inlineStr">
        <is>
          <t>Ministerial conference and committee oversight</t>
        </is>
      </c>
      <c r="L100" t="inlineStr">
        <is>
          <t>IP protection and investment arbitration</t>
        </is>
      </c>
      <c r="M100" t="inlineStr">
        <is>
          <t>A</t>
        </is>
      </c>
      <c r="N100" t="inlineStr">
        <is>
          <t>Dispute settlement and policy review</t>
        </is>
      </c>
      <c r="O100">
        <f>ROUND(SUM(Q100:U100)*1.3,0)</f>
        <v/>
      </c>
      <c r="Q100">
        <f>LEN(TRIM(F100))-LEN(SUBSTITUTE(TRIM(F100)," ",""))+1</f>
        <v/>
      </c>
      <c r="R100">
        <f>LEN(TRIM(I100))-LEN(SUBSTITUTE(TRIM(I100)," ",""))+1</f>
        <v/>
      </c>
      <c r="S100">
        <f>LEN(TRIM(J100))-LEN(SUBSTITUTE(TRIM(J100)," ",""))+1</f>
        <v/>
      </c>
      <c r="T100">
        <f>LEN(TRIM(K100))-LEN(SUBSTITUTE(TRIM(K100)," ",""))+1</f>
        <v/>
      </c>
      <c r="U100">
        <f>LEN(TRIM(L100))-LEN(SUBSTITUTE(TRIM(L100)," ",""))+1</f>
        <v/>
      </c>
    </row>
    <row r="101">
      <c r="C101" t="inlineStr">
        <is>
          <t>Finals</t>
        </is>
      </c>
      <c r="D101" t="inlineStr">
        <is>
          <t>Explain the history, structure, and functions of the World Trade Organization</t>
        </is>
      </c>
      <c r="E101" t="inlineStr">
        <is>
          <t>Week 13 — The World Trading System — WTO and Trade Agreements</t>
        </is>
      </c>
      <c r="F101" t="inlineStr">
        <is>
          <t>A Philippine textile exporter faces a quantitative limit on shirt exports to a WTO member. Which GATT rule does this quota potentially violate?</t>
        </is>
      </c>
      <c r="G101" t="inlineStr">
        <is>
          <t>Multiple Choice</t>
        </is>
      </c>
      <c r="H101" t="inlineStr">
        <is>
          <t>Applying</t>
        </is>
      </c>
      <c r="I101" t="inlineStr">
        <is>
          <t>Tariff binding</t>
        </is>
      </c>
      <c r="J101" t="inlineStr">
        <is>
          <t>National treatment</t>
        </is>
      </c>
      <c r="K101" t="inlineStr">
        <is>
          <t>Prohibition of quotas</t>
        </is>
      </c>
      <c r="L101" t="inlineStr">
        <is>
          <t>MFN treatment</t>
        </is>
      </c>
      <c r="M101" t="inlineStr">
        <is>
          <t>C</t>
        </is>
      </c>
      <c r="N101" t="inlineStr">
        <is>
          <t>Prohibition of quotas</t>
        </is>
      </c>
      <c r="O101">
        <f>ROUND(SUM(Q101:U101)*1.3,0)</f>
        <v/>
      </c>
      <c r="Q101">
        <f>LEN(TRIM(F101))-LEN(SUBSTITUTE(TRIM(F101)," ",""))+1</f>
        <v/>
      </c>
      <c r="R101">
        <f>LEN(TRIM(I101))-LEN(SUBSTITUTE(TRIM(I101)," ",""))+1</f>
        <v/>
      </c>
      <c r="S101">
        <f>LEN(TRIM(J101))-LEN(SUBSTITUTE(TRIM(J101)," ",""))+1</f>
        <v/>
      </c>
      <c r="T101">
        <f>LEN(TRIM(K101))-LEN(SUBSTITUTE(TRIM(K101)," ",""))+1</f>
        <v/>
      </c>
      <c r="U101">
        <f>LEN(TRIM(L101))-LEN(SUBSTITUTE(TRIM(L101)," ",""))+1</f>
        <v/>
      </c>
    </row>
    <row r="102">
      <c r="C102" t="inlineStr">
        <is>
          <t>Finals</t>
        </is>
      </c>
      <c r="D102" t="inlineStr">
        <is>
          <t>Explain the history, structure, and functions of the World Trade Organization</t>
        </is>
      </c>
      <c r="E102" t="inlineStr">
        <is>
          <t>Week 13 — The World Trading System — WTO and Trade Agreements</t>
        </is>
      </c>
      <c r="F102" t="inlineStr">
        <is>
          <t>The WTO General Council convenes in two specialized capacities. What are they?</t>
        </is>
      </c>
      <c r="G102" t="inlineStr">
        <is>
          <t>Multiple Choice</t>
        </is>
      </c>
      <c r="H102" t="inlineStr">
        <is>
          <t>Understanding</t>
        </is>
      </c>
      <c r="I102" t="inlineStr">
        <is>
          <t>The Ministerial Conference and the General Council</t>
        </is>
      </c>
      <c r="J102" t="inlineStr">
        <is>
          <t>The Council for Trade in Goods and the Council for Trade in Services</t>
        </is>
      </c>
      <c r="K102" t="inlineStr">
        <is>
          <t>The Dispute Settlement Body and the Trade Policy Review Body</t>
        </is>
      </c>
      <c r="L102" t="inlineStr">
        <is>
          <t>The Committee on Agriculture and the Committee on Market Access</t>
        </is>
      </c>
      <c r="M102" t="inlineStr">
        <is>
          <t>C</t>
        </is>
      </c>
      <c r="N102" t="inlineStr">
        <is>
          <t>The Dispute Settlement Body and the Trade Policy Review Body</t>
        </is>
      </c>
      <c r="O102">
        <f>ROUND(SUM(Q102:U102)*1.3,0)</f>
        <v/>
      </c>
      <c r="Q102">
        <f>LEN(TRIM(F102))-LEN(SUBSTITUTE(TRIM(F102)," ",""))+1</f>
        <v/>
      </c>
      <c r="R102">
        <f>LEN(TRIM(I102))-LEN(SUBSTITUTE(TRIM(I102)," ",""))+1</f>
        <v/>
      </c>
      <c r="S102">
        <f>LEN(TRIM(J102))-LEN(SUBSTITUTE(TRIM(J102)," ",""))+1</f>
        <v/>
      </c>
      <c r="T102">
        <f>LEN(TRIM(K102))-LEN(SUBSTITUTE(TRIM(K102)," ",""))+1</f>
        <v/>
      </c>
      <c r="U102">
        <f>LEN(TRIM(L102))-LEN(SUBSTITUTE(TRIM(L102)," ",""))+1</f>
        <v/>
      </c>
    </row>
    <row r="103">
      <c r="C103" t="inlineStr">
        <is>
          <t>Finals</t>
        </is>
      </c>
      <c r="D103" t="inlineStr">
        <is>
          <t>Explain the history, structure, and functions of the World Trade Organization</t>
        </is>
      </c>
      <c r="E103" t="inlineStr">
        <is>
          <t>Week 13 — The World Trading System — WTO and Trade Agreements</t>
        </is>
      </c>
      <c r="F103" t="inlineStr">
        <is>
          <t>Which WTO council is responsible for overseeing the implementation of the General Agreement on Trade in Services (GATS)?</t>
        </is>
      </c>
      <c r="G103" t="inlineStr">
        <is>
          <t>Multiple Choice</t>
        </is>
      </c>
      <c r="H103" t="inlineStr">
        <is>
          <t>Understanding</t>
        </is>
      </c>
      <c r="I103" t="inlineStr">
        <is>
          <t>Council for Trade in Goods</t>
        </is>
      </c>
      <c r="J103" t="inlineStr">
        <is>
          <t>Council for TRIPS</t>
        </is>
      </c>
      <c r="K103" t="inlineStr">
        <is>
          <t>Council for Trade in Services</t>
        </is>
      </c>
      <c r="L103" t="inlineStr">
        <is>
          <t>The General Council</t>
        </is>
      </c>
      <c r="M103" t="inlineStr">
        <is>
          <t>C</t>
        </is>
      </c>
      <c r="N103" t="inlineStr">
        <is>
          <t>Council for Trade in Services</t>
        </is>
      </c>
      <c r="O103">
        <f>ROUND(SUM(Q103:U103)*1.3,0)</f>
        <v/>
      </c>
      <c r="Q103">
        <f>LEN(TRIM(F103))-LEN(SUBSTITUTE(TRIM(F103)," ",""))+1</f>
        <v/>
      </c>
      <c r="R103">
        <f>LEN(TRIM(I103))-LEN(SUBSTITUTE(TRIM(I103)," ",""))+1</f>
        <v/>
      </c>
      <c r="S103">
        <f>LEN(TRIM(J103))-LEN(SUBSTITUTE(TRIM(J103)," ",""))+1</f>
        <v/>
      </c>
      <c r="T103">
        <f>LEN(TRIM(K103))-LEN(SUBSTITUTE(TRIM(K103)," ",""))+1</f>
        <v/>
      </c>
      <c r="U103">
        <f>LEN(TRIM(L103))-LEN(SUBSTITUTE(TRIM(L103)," ",""))+1</f>
        <v/>
      </c>
    </row>
    <row r="104">
      <c r="C104" t="inlineStr">
        <is>
          <t>Finals</t>
        </is>
      </c>
      <c r="D104" t="inlineStr">
        <is>
          <t>Explain the history, structure, and functions of the World Trade Organization</t>
        </is>
      </c>
      <c r="E104" t="inlineStr">
        <is>
          <t>Week 13 — The World Trading System — WTO and Trade Agreements</t>
        </is>
      </c>
      <c r="F104" t="inlineStr">
        <is>
          <t>Which WTO agreement covers trade-related aspects of intellectual property rights?</t>
        </is>
      </c>
      <c r="G104" t="inlineStr">
        <is>
          <t>Multiple Choice</t>
        </is>
      </c>
      <c r="H104" t="inlineStr">
        <is>
          <t>Understanding</t>
        </is>
      </c>
      <c r="I104" t="inlineStr">
        <is>
          <t>GATT (General Agreement on Tariffs and Trade)</t>
        </is>
      </c>
      <c r="J104" t="inlineStr">
        <is>
          <t>GATS (General Agreement on Trade in Services)</t>
        </is>
      </c>
      <c r="K104" t="inlineStr">
        <is>
          <t>TRIPS (Trade-Related Aspects of Intellectual Property Rights)</t>
        </is>
      </c>
      <c r="L104" t="inlineStr">
        <is>
          <t>The Marrakesh Agreement</t>
        </is>
      </c>
      <c r="M104" t="inlineStr">
        <is>
          <t>C</t>
        </is>
      </c>
      <c r="N104" t="inlineStr">
        <is>
          <t>TRIPS (Trade-Related Aspects of Intellectual Property Rights)</t>
        </is>
      </c>
      <c r="O104">
        <f>ROUND(SUM(Q104:U104)*1.3,0)</f>
        <v/>
      </c>
      <c r="Q104">
        <f>LEN(TRIM(F104))-LEN(SUBSTITUTE(TRIM(F104)," ",""))+1</f>
        <v/>
      </c>
      <c r="R104">
        <f>LEN(TRIM(I104))-LEN(SUBSTITUTE(TRIM(I104)," ",""))+1</f>
        <v/>
      </c>
      <c r="S104">
        <f>LEN(TRIM(J104))-LEN(SUBSTITUTE(TRIM(J104)," ",""))+1</f>
        <v/>
      </c>
      <c r="T104">
        <f>LEN(TRIM(K104))-LEN(SUBSTITUTE(TRIM(K104)," ",""))+1</f>
        <v/>
      </c>
      <c r="U104">
        <f>LEN(TRIM(L104))-LEN(SUBSTITUTE(TRIM(L104)," ",""))+1</f>
        <v/>
      </c>
    </row>
    <row r="105">
      <c r="C105" t="inlineStr">
        <is>
          <t>Finals</t>
        </is>
      </c>
      <c r="D105" t="inlineStr">
        <is>
          <t>Explain the history, structure, and functions of the World Trade Organization</t>
        </is>
      </c>
      <c r="E105" t="inlineStr">
        <is>
          <t>Week 13 — The World Trading System — WTO and Trade Agreements</t>
        </is>
      </c>
      <c r="F105" t="inlineStr">
        <is>
          <t>Which GATT round first introduced across-the-board tariff cuts instead of product-by-product bargaining?</t>
        </is>
      </c>
      <c r="G105" t="inlineStr">
        <is>
          <t>Multiple Choice</t>
        </is>
      </c>
      <c r="H105" t="inlineStr">
        <is>
          <t>Analyzing</t>
        </is>
      </c>
      <c r="I105" t="inlineStr">
        <is>
          <t>The Geneva Round (1947)</t>
        </is>
      </c>
      <c r="J105" t="inlineStr">
        <is>
          <t>The Kennedy Round (1964-1967)</t>
        </is>
      </c>
      <c r="K105" t="inlineStr">
        <is>
          <t>The Tokyo Round (1973-1979)</t>
        </is>
      </c>
      <c r="L105" t="inlineStr">
        <is>
          <t>The Uruguay Round (1986-1994)</t>
        </is>
      </c>
      <c r="M105" t="inlineStr">
        <is>
          <t>B</t>
        </is>
      </c>
      <c r="N105" t="inlineStr">
        <is>
          <t>The Kennedy Round (1964-1967)</t>
        </is>
      </c>
      <c r="O105">
        <f>ROUND(SUM(Q105:U105)*1.3,0)</f>
        <v/>
      </c>
      <c r="Q105">
        <f>LEN(TRIM(F105))-LEN(SUBSTITUTE(TRIM(F105)," ",""))+1</f>
        <v/>
      </c>
      <c r="R105">
        <f>LEN(TRIM(I105))-LEN(SUBSTITUTE(TRIM(I105)," ",""))+1</f>
        <v/>
      </c>
      <c r="S105">
        <f>LEN(TRIM(J105))-LEN(SUBSTITUTE(TRIM(J105)," ",""))+1</f>
        <v/>
      </c>
      <c r="T105">
        <f>LEN(TRIM(K105))-LEN(SUBSTITUTE(TRIM(K105)," ",""))+1</f>
        <v/>
      </c>
      <c r="U105">
        <f>LEN(TRIM(L105))-LEN(SUBSTITUTE(TRIM(L105)," ",""))+1</f>
        <v/>
      </c>
    </row>
    <row r="106">
      <c r="C106" t="inlineStr">
        <is>
          <t>Finals</t>
        </is>
      </c>
      <c r="D106" t="inlineStr">
        <is>
          <t>Explain the history, structure, and functions of the World Trade Organization</t>
        </is>
      </c>
      <c r="E106" t="inlineStr">
        <is>
          <t>Week 13 — The World Trading System — WTO and Trade Agreements</t>
        </is>
      </c>
      <c r="F106" t="inlineStr">
        <is>
          <t>What is the primary function of the WTO's Dispute Settlement Body (DSB)?</t>
        </is>
      </c>
      <c r="G106" t="inlineStr">
        <is>
          <t>Multiple Choice</t>
        </is>
      </c>
      <c r="H106" t="inlineStr">
        <is>
          <t>Understanding</t>
        </is>
      </c>
      <c r="I106" t="inlineStr">
        <is>
          <t>To oversee the resolution of trade disputes</t>
        </is>
      </c>
      <c r="J106" t="inlineStr">
        <is>
          <t>To negotiate new tariff reduction schedules</t>
        </is>
      </c>
      <c r="K106" t="inlineStr">
        <is>
          <t>To conduct periodic trade policy reviews of members</t>
        </is>
      </c>
      <c r="L106" t="inlineStr">
        <is>
          <t>To establish the agenda for future trade rounds</t>
        </is>
      </c>
      <c r="M106" t="inlineStr">
        <is>
          <t>A</t>
        </is>
      </c>
      <c r="N106" t="inlineStr">
        <is>
          <t>To oversee the resolution of trade disputes</t>
        </is>
      </c>
      <c r="O106">
        <f>ROUND(SUM(Q106:U106)*1.3,0)</f>
        <v/>
      </c>
      <c r="Q106">
        <f>LEN(TRIM(F106))-LEN(SUBSTITUTE(TRIM(F106)," ",""))+1</f>
        <v/>
      </c>
      <c r="R106">
        <f>LEN(TRIM(I106))-LEN(SUBSTITUTE(TRIM(I106)," ",""))+1</f>
        <v/>
      </c>
      <c r="S106">
        <f>LEN(TRIM(J106))-LEN(SUBSTITUTE(TRIM(J106)," ",""))+1</f>
        <v/>
      </c>
      <c r="T106">
        <f>LEN(TRIM(K106))-LEN(SUBSTITUTE(TRIM(K106)," ",""))+1</f>
        <v/>
      </c>
      <c r="U106">
        <f>LEN(TRIM(L106))-LEN(SUBSTITUTE(TRIM(L106)," ",""))+1</f>
        <v/>
      </c>
    </row>
    <row r="107">
      <c r="C107" t="inlineStr">
        <is>
          <t>Finals</t>
        </is>
      </c>
      <c r="D107" t="inlineStr">
        <is>
          <t>explain the levels and forms of regional economic integration</t>
        </is>
      </c>
      <c r="E107" t="inlineStr">
        <is>
          <t>Week 14 — Regional Economic Integration and Trade Blocs v2</t>
        </is>
      </c>
      <c r="F107" t="inlineStr">
        <is>
          <t>Why does a free trade area require rules of origin, while a customs union does not?</t>
        </is>
      </c>
      <c r="G107" t="inlineStr">
        <is>
          <t>Multiple Choice</t>
        </is>
      </c>
      <c r="H107" t="inlineStr">
        <is>
          <t>Understanding</t>
        </is>
      </c>
      <c r="I107" t="inlineStr">
        <is>
          <t>FTAs have lower internal tariffs</t>
        </is>
      </c>
      <c r="J107" t="inlineStr">
        <is>
          <t>Members share a common currency</t>
        </is>
      </c>
      <c r="K107" t="inlineStr">
        <is>
          <t>FTAs include services trade</t>
        </is>
      </c>
      <c r="L107" t="inlineStr">
        <is>
          <t>Members maintain independent external tariffs</t>
        </is>
      </c>
      <c r="M107" t="inlineStr">
        <is>
          <t>D</t>
        </is>
      </c>
      <c r="N107" t="inlineStr">
        <is>
          <t>Members maintain independent external tariffs</t>
        </is>
      </c>
      <c r="O107">
        <f>ROUND(SUM(Q107:U107)*1.3,0)</f>
        <v/>
      </c>
      <c r="Q107">
        <f>LEN(TRIM(F107))-LEN(SUBSTITUTE(TRIM(F107)," ",""))+1</f>
        <v/>
      </c>
      <c r="R107">
        <f>LEN(TRIM(I107))-LEN(SUBSTITUTE(TRIM(I107)," ",""))+1</f>
        <v/>
      </c>
      <c r="S107">
        <f>LEN(TRIM(J107))-LEN(SUBSTITUTE(TRIM(J107)," ",""))+1</f>
        <v/>
      </c>
      <c r="T107">
        <f>LEN(TRIM(K107))-LEN(SUBSTITUTE(TRIM(K107)," ",""))+1</f>
        <v/>
      </c>
      <c r="U107">
        <f>LEN(TRIM(L107))-LEN(SUBSTITUTE(TRIM(L107)," ",""))+1</f>
        <v/>
      </c>
    </row>
    <row r="108">
      <c r="C108" t="inlineStr">
        <is>
          <t>Finals</t>
        </is>
      </c>
      <c r="D108" t="inlineStr">
        <is>
          <t>evaluate the benefits and challenges of ASEAN economic integration for Philippine businesses</t>
        </is>
      </c>
      <c r="E108" t="inlineStr">
        <is>
          <t>Week 14 — Regional Economic Integration and Trade Blocs v2</t>
        </is>
      </c>
      <c r="F108" t="inlineStr">
        <is>
          <t>Which statement best evaluates the current state of the ASEAN Economic Community?</t>
        </is>
      </c>
      <c r="G108" t="inlineStr">
        <is>
          <t>Multiple Choice</t>
        </is>
      </c>
      <c r="H108" t="inlineStr">
        <is>
          <t>Evaluating</t>
        </is>
      </c>
      <c r="I108" t="inlineStr">
        <is>
          <t>It has fully achieved free movement of goods, services, and labor</t>
        </is>
      </c>
      <c r="J108" t="inlineStr">
        <is>
          <t>It has substantially liberalized goods trade but lags in services and labor mobility</t>
        </is>
      </c>
      <c r="K108" t="inlineStr">
        <is>
          <t>It has abandoned tariff elimination due to political disagreements</t>
        </is>
      </c>
      <c r="L108" t="inlineStr">
        <is>
          <t>It now operates as a full economic union with a common currency</t>
        </is>
      </c>
      <c r="M108" t="inlineStr">
        <is>
          <t>B</t>
        </is>
      </c>
      <c r="N108" t="inlineStr">
        <is>
          <t>It has substantially liberalized goods trade but lags in services and labor mobility</t>
        </is>
      </c>
      <c r="O108">
        <f>ROUND(SUM(Q108:U108)*1.3,0)</f>
        <v/>
      </c>
      <c r="Q108">
        <f>LEN(TRIM(F108))-LEN(SUBSTITUTE(TRIM(F108)," ",""))+1</f>
        <v/>
      </c>
      <c r="R108">
        <f>LEN(TRIM(I108))-LEN(SUBSTITUTE(TRIM(I108)," ",""))+1</f>
        <v/>
      </c>
      <c r="S108">
        <f>LEN(TRIM(J108))-LEN(SUBSTITUTE(TRIM(J108)," ",""))+1</f>
        <v/>
      </c>
      <c r="T108">
        <f>LEN(TRIM(K108))-LEN(SUBSTITUTE(TRIM(K108)," ",""))+1</f>
        <v/>
      </c>
      <c r="U108">
        <f>LEN(TRIM(L108))-LEN(SUBSTITUTE(TRIM(L108)," ",""))+1</f>
        <v/>
      </c>
    </row>
    <row r="109">
      <c r="C109" t="inlineStr">
        <is>
          <t>Finals</t>
        </is>
      </c>
      <c r="D109" t="inlineStr">
        <is>
          <t>explain the levels and forms of regional economic integration</t>
        </is>
      </c>
      <c r="E109" t="inlineStr">
        <is>
          <t>Week 14 — Regional Economic Integration and Trade Blocs v2</t>
        </is>
      </c>
      <c r="F109" t="inlineStr">
        <is>
          <t>Which feature distinguishes a customs union from a free trade area?</t>
        </is>
      </c>
      <c r="G109" t="inlineStr">
        <is>
          <t>Multiple Choice</t>
        </is>
      </c>
      <c r="H109" t="inlineStr">
        <is>
          <t>Remembering</t>
        </is>
      </c>
      <c r="I109" t="inlineStr">
        <is>
          <t>Free movement of labor</t>
        </is>
      </c>
      <c r="J109" t="inlineStr">
        <is>
          <t>Harmonized fiscal policies</t>
        </is>
      </c>
      <c r="K109" t="inlineStr">
        <is>
          <t>Common external tariff</t>
        </is>
      </c>
      <c r="L109" t="inlineStr">
        <is>
          <t>Free movement of capital</t>
        </is>
      </c>
      <c r="M109" t="inlineStr">
        <is>
          <t>C</t>
        </is>
      </c>
      <c r="N109" t="inlineStr">
        <is>
          <t>Common external tariff</t>
        </is>
      </c>
      <c r="O109">
        <f>ROUND(SUM(Q109:U109)*1.3,0)</f>
        <v/>
      </c>
      <c r="Q109">
        <f>LEN(TRIM(F109))-LEN(SUBSTITUTE(TRIM(F109)," ",""))+1</f>
        <v/>
      </c>
      <c r="R109">
        <f>LEN(TRIM(I109))-LEN(SUBSTITUTE(TRIM(I109)," ",""))+1</f>
        <v/>
      </c>
      <c r="S109">
        <f>LEN(TRIM(J109))-LEN(SUBSTITUTE(TRIM(J109)," ",""))+1</f>
        <v/>
      </c>
      <c r="T109">
        <f>LEN(TRIM(K109))-LEN(SUBSTITUTE(TRIM(K109)," ",""))+1</f>
        <v/>
      </c>
      <c r="U109">
        <f>LEN(TRIM(L109))-LEN(SUBSTITUTE(TRIM(L109)," ",""))+1</f>
        <v/>
      </c>
    </row>
    <row r="110">
      <c r="C110" t="inlineStr">
        <is>
          <t>Finals</t>
        </is>
      </c>
      <c r="D110" t="inlineStr">
        <is>
          <t>compare major trade blocs: EU, ASEAN, USMCA, AfCFTA</t>
        </is>
      </c>
      <c r="E110" t="inlineStr">
        <is>
          <t>Week 14 — Regional Economic Integration and Trade Blocs v2</t>
        </is>
      </c>
      <c r="F110" t="inlineStr">
        <is>
          <t>What key lesson does the eurozone debt crisis provide regarding economic unions?</t>
        </is>
      </c>
      <c r="G110" t="inlineStr">
        <is>
          <t>Multiple Choice</t>
        </is>
      </c>
      <c r="H110" t="inlineStr">
        <is>
          <t>Understanding</t>
        </is>
      </c>
      <c r="I110" t="inlineStr">
        <is>
          <t>A common currency requires fiscal integration</t>
        </is>
      </c>
      <c r="J110" t="inlineStr">
        <is>
          <t>Free movement of labor prevents fiscal crises</t>
        </is>
      </c>
      <c r="K110" t="inlineStr">
        <is>
          <t>Harmonized product standards within the EU prevented such crises</t>
        </is>
      </c>
      <c r="L110" t="inlineStr">
        <is>
          <t>The free movement of goods caused the fiscal imbalances</t>
        </is>
      </c>
      <c r="M110" t="inlineStr">
        <is>
          <t>A</t>
        </is>
      </c>
      <c r="N110" t="inlineStr">
        <is>
          <t>A common currency requires fiscal integration</t>
        </is>
      </c>
      <c r="O110">
        <f>ROUND(SUM(Q110:U110)*1.3,0)</f>
        <v/>
      </c>
      <c r="Q110">
        <f>LEN(TRIM(F110))-LEN(SUBSTITUTE(TRIM(F110)," ",""))+1</f>
        <v/>
      </c>
      <c r="R110">
        <f>LEN(TRIM(I110))-LEN(SUBSTITUTE(TRIM(I110)," ",""))+1</f>
        <v/>
      </c>
      <c r="S110">
        <f>LEN(TRIM(J110))-LEN(SUBSTITUTE(TRIM(J110)," ",""))+1</f>
        <v/>
      </c>
      <c r="T110">
        <f>LEN(TRIM(K110))-LEN(SUBSTITUTE(TRIM(K110)," ",""))+1</f>
        <v/>
      </c>
      <c r="U110">
        <f>LEN(TRIM(L110))-LEN(SUBSTITUTE(TRIM(L110)," ",""))+1</f>
        <v/>
      </c>
    </row>
    <row r="111">
      <c r="C111" t="inlineStr">
        <is>
          <t>Finals</t>
        </is>
      </c>
      <c r="D111" t="inlineStr">
        <is>
          <t>explain the levels and forms of regional economic integration</t>
        </is>
      </c>
      <c r="E111" t="inlineStr">
        <is>
          <t>Week 14 — Regional Economic Integration and Trade Blocs v2</t>
        </is>
      </c>
      <c r="F111" t="inlineStr">
        <is>
          <t>The Philippines, as a member of the ASEAN Free Trade Area (AFTA), eliminates tariffs on goods imported from Malaysia. This action is a characteristic of which level of regional economic integration?</t>
        </is>
      </c>
      <c r="G111" t="inlineStr">
        <is>
          <t>Multiple Choice</t>
        </is>
      </c>
      <c r="H111" t="inlineStr">
        <is>
          <t>Applying</t>
        </is>
      </c>
      <c r="I111" t="inlineStr">
        <is>
          <t>Free trade area</t>
        </is>
      </c>
      <c r="J111" t="inlineStr">
        <is>
          <t>Economic union</t>
        </is>
      </c>
      <c r="K111" t="inlineStr">
        <is>
          <t>Customs union</t>
        </is>
      </c>
      <c r="L111" t="inlineStr">
        <is>
          <t>Common market</t>
        </is>
      </c>
      <c r="M111" t="inlineStr">
        <is>
          <t>A</t>
        </is>
      </c>
      <c r="N111" t="inlineStr">
        <is>
          <t>Free trade area</t>
        </is>
      </c>
      <c r="O111">
        <f>ROUND(SUM(Q111:U111)*1.3,0)</f>
        <v/>
      </c>
      <c r="Q111">
        <f>LEN(TRIM(F111))-LEN(SUBSTITUTE(TRIM(F111)," ",""))+1</f>
        <v/>
      </c>
      <c r="R111">
        <f>LEN(TRIM(I111))-LEN(SUBSTITUTE(TRIM(I111)," ",""))+1</f>
        <v/>
      </c>
      <c r="S111">
        <f>LEN(TRIM(J111))-LEN(SUBSTITUTE(TRIM(J111)," ",""))+1</f>
        <v/>
      </c>
      <c r="T111">
        <f>LEN(TRIM(K111))-LEN(SUBSTITUTE(TRIM(K111)," ",""))+1</f>
        <v/>
      </c>
      <c r="U111">
        <f>LEN(TRIM(L111))-LEN(SUBSTITUTE(TRIM(L111)," ",""))+1</f>
        <v/>
      </c>
    </row>
    <row r="112">
      <c r="C112" t="inlineStr">
        <is>
          <t>Finals</t>
        </is>
      </c>
      <c r="D112" t="inlineStr">
        <is>
          <t>evaluate the benefits and challenges of ASEAN economic integration for Philippine businesses</t>
        </is>
      </c>
      <c r="E112" t="inlineStr">
        <is>
          <t>Week 14 — Regional Economic Integration and Trade Blocs v2</t>
        </is>
      </c>
      <c r="F112" t="inlineStr">
        <is>
          <t>A Philippine clothing company exporting to Vietnam under AFTA must prove its products are made primarily in the Philippines to receive zero tariffs. What is this trade requirement called?</t>
        </is>
      </c>
      <c r="G112" t="inlineStr">
        <is>
          <t>Multiple Choice</t>
        </is>
      </c>
      <c r="H112" t="inlineStr">
        <is>
          <t>Applying</t>
        </is>
      </c>
      <c r="I112" t="inlineStr">
        <is>
          <t>Mutual recognition arrangement</t>
        </is>
      </c>
      <c r="J112" t="inlineStr">
        <is>
          <t>Common external tariff</t>
        </is>
      </c>
      <c r="K112" t="inlineStr">
        <is>
          <t>Rules of origin</t>
        </is>
      </c>
      <c r="L112" t="inlineStr">
        <is>
          <t>Harmonized product standards</t>
        </is>
      </c>
      <c r="M112" t="inlineStr">
        <is>
          <t>C</t>
        </is>
      </c>
      <c r="N112" t="inlineStr">
        <is>
          <t>Rules of origin</t>
        </is>
      </c>
      <c r="O112">
        <f>ROUND(SUM(Q112:U112)*1.3,0)</f>
        <v/>
      </c>
      <c r="Q112">
        <f>LEN(TRIM(F112))-LEN(SUBSTITUTE(TRIM(F112)," ",""))+1</f>
        <v/>
      </c>
      <c r="R112">
        <f>LEN(TRIM(I112))-LEN(SUBSTITUTE(TRIM(I112)," ",""))+1</f>
        <v/>
      </c>
      <c r="S112">
        <f>LEN(TRIM(J112))-LEN(SUBSTITUTE(TRIM(J112)," ",""))+1</f>
        <v/>
      </c>
      <c r="T112">
        <f>LEN(TRIM(K112))-LEN(SUBSTITUTE(TRIM(K112)," ",""))+1</f>
        <v/>
      </c>
      <c r="U112">
        <f>LEN(TRIM(L112))-LEN(SUBSTITUTE(TRIM(L112)," ",""))+1</f>
        <v/>
      </c>
    </row>
    <row r="113">
      <c r="C113" t="inlineStr">
        <is>
          <t>Finals</t>
        </is>
      </c>
      <c r="D113" t="inlineStr">
        <is>
          <t>evaluate the benefits and challenges of ASEAN economic integration for Philippine businesses</t>
        </is>
      </c>
      <c r="E113" t="inlineStr">
        <is>
          <t>Week 14 — Regional Economic Integration and Trade Blocs v2</t>
        </is>
      </c>
      <c r="F113" t="inlineStr">
        <is>
          <t>The ASEAN Economic Community has established Mutual Recognition Arrangements (MRAs) for Filipino professionals. What aspect of a common market does this represent?</t>
        </is>
      </c>
      <c r="G113" t="inlineStr">
        <is>
          <t>Multiple Choice</t>
        </is>
      </c>
      <c r="H113" t="inlineStr">
        <is>
          <t>Understanding</t>
        </is>
      </c>
      <c r="I113" t="inlineStr">
        <is>
          <t>Free movement of capital</t>
        </is>
      </c>
      <c r="J113" t="inlineStr">
        <is>
          <t>Free movement of goods</t>
        </is>
      </c>
      <c r="K113" t="inlineStr">
        <is>
          <t>Free movement of services</t>
        </is>
      </c>
      <c r="L113" t="inlineStr">
        <is>
          <t>Free movement of labor</t>
        </is>
      </c>
      <c r="M113" t="inlineStr">
        <is>
          <t>D</t>
        </is>
      </c>
      <c r="N113" t="inlineStr">
        <is>
          <t>Free movement of labor</t>
        </is>
      </c>
      <c r="O113">
        <f>ROUND(SUM(Q113:U113)*1.3,0)</f>
        <v/>
      </c>
      <c r="Q113">
        <f>LEN(TRIM(F113))-LEN(SUBSTITUTE(TRIM(F113)," ",""))+1</f>
        <v/>
      </c>
      <c r="R113">
        <f>LEN(TRIM(I113))-LEN(SUBSTITUTE(TRIM(I113)," ",""))+1</f>
        <v/>
      </c>
      <c r="S113">
        <f>LEN(TRIM(J113))-LEN(SUBSTITUTE(TRIM(J113)," ",""))+1</f>
        <v/>
      </c>
      <c r="T113">
        <f>LEN(TRIM(K113))-LEN(SUBSTITUTE(TRIM(K113)," ",""))+1</f>
        <v/>
      </c>
      <c r="U113">
        <f>LEN(TRIM(L113))-LEN(SUBSTITUTE(TRIM(L113)," ",""))+1</f>
        <v/>
      </c>
    </row>
    <row r="114">
      <c r="C114" t="inlineStr">
        <is>
          <t>Finals</t>
        </is>
      </c>
      <c r="D114" t="inlineStr">
        <is>
          <t>compare major trade blocs: EU, ASEAN, USMCA, AfCFTA</t>
        </is>
      </c>
      <c r="E114" t="inlineStr">
        <is>
          <t>Week 14 — Regional Economic Integration and Trade Blocs v2</t>
        </is>
      </c>
      <c r="F114" t="inlineStr">
        <is>
          <t>How does the institutional framework of the European Union most differ from ASEAN's approach to integration?</t>
        </is>
      </c>
      <c r="G114" t="inlineStr">
        <is>
          <t>Multiple Choice</t>
        </is>
      </c>
      <c r="H114" t="inlineStr">
        <is>
          <t>Analyzing</t>
        </is>
      </c>
      <c r="I114" t="inlineStr">
        <is>
          <t>ASEAN's decision-making is based on supranational institutions</t>
        </is>
      </c>
      <c r="J114" t="inlineStr">
        <is>
          <t>ASEAN has adopted a single currency and central bank</t>
        </is>
      </c>
      <c r="K114" t="inlineStr">
        <is>
          <t>The EU functions solely through intergovernmental negotiations</t>
        </is>
      </c>
      <c r="L114" t="inlineStr">
        <is>
          <t>The EU uses supranational bodies; ASEAN relies on consensus</t>
        </is>
      </c>
      <c r="M114" t="inlineStr">
        <is>
          <t>D</t>
        </is>
      </c>
      <c r="N114" t="inlineStr">
        <is>
          <t>The EU uses supranational bodies; ASEAN relies on consensus</t>
        </is>
      </c>
      <c r="O114">
        <f>ROUND(SUM(Q114:U114)*1.3,0)</f>
        <v/>
      </c>
      <c r="Q114">
        <f>LEN(TRIM(F114))-LEN(SUBSTITUTE(TRIM(F114)," ",""))+1</f>
        <v/>
      </c>
      <c r="R114">
        <f>LEN(TRIM(I114))-LEN(SUBSTITUTE(TRIM(I114)," ",""))+1</f>
        <v/>
      </c>
      <c r="S114">
        <f>LEN(TRIM(J114))-LEN(SUBSTITUTE(TRIM(J114)," ",""))+1</f>
        <v/>
      </c>
      <c r="T114">
        <f>LEN(TRIM(K114))-LEN(SUBSTITUTE(TRIM(K114)," ",""))+1</f>
        <v/>
      </c>
      <c r="U114">
        <f>LEN(TRIM(L114))-LEN(SUBSTITUTE(TRIM(L114)," ",""))+1</f>
        <v/>
      </c>
    </row>
    <row r="115">
      <c r="C115" t="inlineStr">
        <is>
          <t>Finals</t>
        </is>
      </c>
      <c r="D115" t="inlineStr">
        <is>
          <t>explain the levels and forms of regional economic integration</t>
        </is>
      </c>
      <c r="E115" t="inlineStr">
        <is>
          <t>Week 14 — Regional Economic Integration and Trade Blocs</t>
        </is>
      </c>
      <c r="F115" t="inlineStr">
        <is>
          <t>A regional arrangement eliminates internal tariffs and adopts a common external trade policy toward non‑members, but does not yet permit free movement of labour and capital. This arrangement is best classified as a:</t>
        </is>
      </c>
      <c r="G115" t="inlineStr">
        <is>
          <t>Multiple Choice</t>
        </is>
      </c>
      <c r="H115" t="inlineStr">
        <is>
          <t>Understanding</t>
        </is>
      </c>
      <c r="I115" t="inlineStr">
        <is>
          <t>Common market</t>
        </is>
      </c>
      <c r="J115" t="inlineStr">
        <is>
          <t>Free trade area</t>
        </is>
      </c>
      <c r="K115" t="inlineStr">
        <is>
          <t>Economic union</t>
        </is>
      </c>
      <c r="L115" t="inlineStr">
        <is>
          <t>Customs union</t>
        </is>
      </c>
      <c r="M115" t="inlineStr">
        <is>
          <t>D</t>
        </is>
      </c>
      <c r="N115" t="inlineStr">
        <is>
          <t>Customs union</t>
        </is>
      </c>
      <c r="O115">
        <f>ROUND(SUM(Q115:U115)*1.3,0)</f>
        <v/>
      </c>
      <c r="Q115">
        <f>LEN(TRIM(F115))-LEN(SUBSTITUTE(TRIM(F115)," ",""))+1</f>
        <v/>
      </c>
      <c r="R115">
        <f>LEN(TRIM(I115))-LEN(SUBSTITUTE(TRIM(I115)," ",""))+1</f>
        <v/>
      </c>
      <c r="S115">
        <f>LEN(TRIM(J115))-LEN(SUBSTITUTE(TRIM(J115)," ",""))+1</f>
        <v/>
      </c>
      <c r="T115">
        <f>LEN(TRIM(K115))-LEN(SUBSTITUTE(TRIM(K115)," ",""))+1</f>
        <v/>
      </c>
      <c r="U115">
        <f>LEN(TRIM(L115))-LEN(SUBSTITUTE(TRIM(L115)," ",""))+1</f>
        <v/>
      </c>
    </row>
    <row r="116">
      <c r="C116" t="inlineStr">
        <is>
          <t>Finals</t>
        </is>
      </c>
      <c r="D116" t="inlineStr">
        <is>
          <t>compare major trade blocs: EU, ASEAN, USMCA, AfCFTA</t>
        </is>
      </c>
      <c r="E116" t="inlineStr">
        <is>
          <t>Week 14 — Regional Economic Integration and Trade Blocs</t>
        </is>
      </c>
      <c r="F116" t="inlineStr">
        <is>
          <t>Which level of regional integration is most closely associated with the European Union as the world's most advanced integration model?</t>
        </is>
      </c>
      <c r="G116" t="inlineStr">
        <is>
          <t>Multiple Choice</t>
        </is>
      </c>
      <c r="H116" t="inlineStr">
        <is>
          <t>Remembering</t>
        </is>
      </c>
      <c r="I116" t="inlineStr">
        <is>
          <t>Free trade area</t>
        </is>
      </c>
      <c r="J116" t="inlineStr">
        <is>
          <t>Economic union</t>
        </is>
      </c>
      <c r="K116" t="inlineStr">
        <is>
          <t>Common market</t>
        </is>
      </c>
      <c r="L116" t="inlineStr">
        <is>
          <t>Customs union</t>
        </is>
      </c>
      <c r="M116" t="inlineStr">
        <is>
          <t>B</t>
        </is>
      </c>
      <c r="N116" t="inlineStr">
        <is>
          <t>Economic union</t>
        </is>
      </c>
      <c r="O116">
        <f>ROUND(SUM(Q116:U116)*1.3,0)</f>
        <v/>
      </c>
      <c r="Q116">
        <f>LEN(TRIM(F116))-LEN(SUBSTITUTE(TRIM(F116)," ",""))+1</f>
        <v/>
      </c>
      <c r="R116">
        <f>LEN(TRIM(I116))-LEN(SUBSTITUTE(TRIM(I116)," ",""))+1</f>
        <v/>
      </c>
      <c r="S116">
        <f>LEN(TRIM(J116))-LEN(SUBSTITUTE(TRIM(J116)," ",""))+1</f>
        <v/>
      </c>
      <c r="T116">
        <f>LEN(TRIM(K116))-LEN(SUBSTITUTE(TRIM(K116)," ",""))+1</f>
        <v/>
      </c>
      <c r="U116">
        <f>LEN(TRIM(L116))-LEN(SUBSTITUTE(TRIM(L116)," ",""))+1</f>
        <v/>
      </c>
    </row>
    <row r="117">
      <c r="C117" t="inlineStr">
        <is>
          <t>Finals</t>
        </is>
      </c>
      <c r="D117" t="inlineStr">
        <is>
          <t>evaluate the benefits and challenges of ASEAN economic integration for Philippine businesses</t>
        </is>
      </c>
      <c r="E117" t="inlineStr">
        <is>
          <t>Week 14 — Regional Economic Integration and Trade Blocs</t>
        </is>
      </c>
      <c r="F117" t="inlineStr">
        <is>
          <t>A Philippine firm leverages AFTA to export to Vietnam at reduced tariffs while also using RCEP provisions to enter South Korea. This reflects operating within:</t>
        </is>
      </c>
      <c r="G117" t="inlineStr">
        <is>
          <t>Multiple Choice</t>
        </is>
      </c>
      <c r="H117" t="inlineStr">
        <is>
          <t>Applying</t>
        </is>
      </c>
      <c r="I117" t="inlineStr">
        <is>
          <t>A common market</t>
        </is>
      </c>
      <c r="J117" t="inlineStr">
        <is>
          <t>Overlapping preferential trade zones</t>
        </is>
      </c>
      <c r="K117" t="inlineStr">
        <is>
          <t>An economic union</t>
        </is>
      </c>
      <c r="L117" t="inlineStr">
        <is>
          <t>A single customs territory</t>
        </is>
      </c>
      <c r="M117" t="inlineStr">
        <is>
          <t>B</t>
        </is>
      </c>
      <c r="N117" t="inlineStr">
        <is>
          <t>Overlapping preferential trade zones</t>
        </is>
      </c>
      <c r="O117">
        <f>ROUND(SUM(Q117:U117)*1.3,0)</f>
        <v/>
      </c>
      <c r="Q117">
        <f>LEN(TRIM(F117))-LEN(SUBSTITUTE(TRIM(F117)," ",""))+1</f>
        <v/>
      </c>
      <c r="R117">
        <f>LEN(TRIM(I117))-LEN(SUBSTITUTE(TRIM(I117)," ",""))+1</f>
        <v/>
      </c>
      <c r="S117">
        <f>LEN(TRIM(J117))-LEN(SUBSTITUTE(TRIM(J117)," ",""))+1</f>
        <v/>
      </c>
      <c r="T117">
        <f>LEN(TRIM(K117))-LEN(SUBSTITUTE(TRIM(K117)," ",""))+1</f>
        <v/>
      </c>
      <c r="U117">
        <f>LEN(TRIM(L117))-LEN(SUBSTITUTE(TRIM(L117)," ",""))+1</f>
        <v/>
      </c>
    </row>
    <row r="118">
      <c r="C118" t="inlineStr">
        <is>
          <t>Finals</t>
        </is>
      </c>
      <c r="D118" t="inlineStr">
        <is>
          <t>compare major trade blocs: EU, ASEAN, USMCA, AfCFTA</t>
        </is>
      </c>
      <c r="E118" t="inlineStr">
        <is>
          <t>Week 14 — Regional Economic Integration and Trade Blocs</t>
        </is>
      </c>
      <c r="F118" t="inlineStr">
        <is>
          <t>What is the successor trade agreement to NAFTA that introduced updated automotive rules of origin?</t>
        </is>
      </c>
      <c r="G118" t="inlineStr">
        <is>
          <t>Multiple Choice</t>
        </is>
      </c>
      <c r="H118" t="inlineStr">
        <is>
          <t>Remembering</t>
        </is>
      </c>
      <c r="I118" t="inlineStr">
        <is>
          <t>RCEP</t>
        </is>
      </c>
      <c r="J118" t="inlineStr">
        <is>
          <t>USMCA</t>
        </is>
      </c>
      <c r="K118" t="inlineStr">
        <is>
          <t>Mercosur</t>
        </is>
      </c>
      <c r="L118" t="inlineStr">
        <is>
          <t>ASEAN</t>
        </is>
      </c>
      <c r="M118" t="inlineStr">
        <is>
          <t>B</t>
        </is>
      </c>
      <c r="N118" t="inlineStr">
        <is>
          <t>USMCA</t>
        </is>
      </c>
      <c r="O118">
        <f>ROUND(SUM(Q118:U118)*1.3,0)</f>
        <v/>
      </c>
      <c r="Q118">
        <f>LEN(TRIM(F118))-LEN(SUBSTITUTE(TRIM(F118)," ",""))+1</f>
        <v/>
      </c>
      <c r="R118">
        <f>LEN(TRIM(I118))-LEN(SUBSTITUTE(TRIM(I118)," ",""))+1</f>
        <v/>
      </c>
      <c r="S118">
        <f>LEN(TRIM(J118))-LEN(SUBSTITUTE(TRIM(J118)," ",""))+1</f>
        <v/>
      </c>
      <c r="T118">
        <f>LEN(TRIM(K118))-LEN(SUBSTITUTE(TRIM(K118)," ",""))+1</f>
        <v/>
      </c>
      <c r="U118">
        <f>LEN(TRIM(L118))-LEN(SUBSTITUTE(TRIM(L118)," ",""))+1</f>
        <v/>
      </c>
    </row>
    <row r="119">
      <c r="C119" t="inlineStr">
        <is>
          <t>Finals</t>
        </is>
      </c>
      <c r="D119" t="inlineStr">
        <is>
          <t>evaluate the benefits and challenges of ASEAN economic integration for Philippine businesses</t>
        </is>
      </c>
      <c r="E119" t="inlineStr">
        <is>
          <t>Week 14 — Regional Economic Integration and Trade Blocs</t>
        </is>
      </c>
      <c r="F119" t="inlineStr">
        <is>
          <t>Jollibee Foods Corporation's growth to over 1,500 international stores is best interpreted as:</t>
        </is>
      </c>
      <c r="G119" t="inlineStr">
        <is>
          <t>Multiple Choice</t>
        </is>
      </c>
      <c r="H119" t="inlineStr">
        <is>
          <t>Understanding</t>
        </is>
      </c>
      <c r="I119" t="inlineStr">
        <is>
          <t>Philippine firms benefiting from regional economic integration</t>
        </is>
      </c>
      <c r="J119" t="inlineStr">
        <is>
          <t>An outcome of trade diversion into the domestic market</t>
        </is>
      </c>
      <c r="K119" t="inlineStr">
        <is>
          <t>Proof that ASEAN has become a full customs union</t>
        </is>
      </c>
      <c r="L119" t="inlineStr">
        <is>
          <t>A result of harmonised currency policies in the region</t>
        </is>
      </c>
      <c r="M119" t="inlineStr">
        <is>
          <t>A</t>
        </is>
      </c>
      <c r="N119" t="inlineStr">
        <is>
          <t>Philippine firms benefiting from regional economic integration</t>
        </is>
      </c>
      <c r="O119">
        <f>ROUND(SUM(Q119:U119)*1.3,0)</f>
        <v/>
      </c>
      <c r="Q119">
        <f>LEN(TRIM(F119))-LEN(SUBSTITUTE(TRIM(F119)," ",""))+1</f>
        <v/>
      </c>
      <c r="R119">
        <f>LEN(TRIM(I119))-LEN(SUBSTITUTE(TRIM(I119)," ",""))+1</f>
        <v/>
      </c>
      <c r="S119">
        <f>LEN(TRIM(J119))-LEN(SUBSTITUTE(TRIM(J119)," ",""))+1</f>
        <v/>
      </c>
      <c r="T119">
        <f>LEN(TRIM(K119))-LEN(SUBSTITUTE(TRIM(K119)," ",""))+1</f>
        <v/>
      </c>
      <c r="U119">
        <f>LEN(TRIM(L119))-LEN(SUBSTITUTE(TRIM(L119)," ",""))+1</f>
        <v/>
      </c>
    </row>
    <row r="120">
      <c r="C120" t="inlineStr">
        <is>
          <t>Finals</t>
        </is>
      </c>
      <c r="D120" t="inlineStr">
        <is>
          <t>explain the levels and forms of regional economic integration</t>
        </is>
      </c>
      <c r="E120" t="inlineStr">
        <is>
          <t>Week 14 — Regional Economic Integration and Trade Blocs</t>
        </is>
      </c>
      <c r="F120" t="inlineStr">
        <is>
          <t>A Philippine furniture maker previously produced all parts domestically at a high cost. With ASEAN integration, it imports cheaper components from Thailand and lowers prices. This outcome exemplifies:</t>
        </is>
      </c>
      <c r="G120" t="inlineStr">
        <is>
          <t>Multiple Choice</t>
        </is>
      </c>
      <c r="H120" t="inlineStr">
        <is>
          <t>Applying</t>
        </is>
      </c>
      <c r="I120" t="inlineStr">
        <is>
          <t>Economic union deepening</t>
        </is>
      </c>
      <c r="J120" t="inlineStr">
        <is>
          <t>Trade creation</t>
        </is>
      </c>
      <c r="K120" t="inlineStr">
        <is>
          <t>Trade diversion</t>
        </is>
      </c>
      <c r="L120" t="inlineStr">
        <is>
          <t>Common market expansion</t>
        </is>
      </c>
      <c r="M120" t="inlineStr">
        <is>
          <t>B</t>
        </is>
      </c>
      <c r="N120" t="inlineStr">
        <is>
          <t>Trade creation</t>
        </is>
      </c>
      <c r="O120">
        <f>ROUND(SUM(Q120:U120)*1.3,0)</f>
        <v/>
      </c>
      <c r="Q120">
        <f>LEN(TRIM(F120))-LEN(SUBSTITUTE(TRIM(F120)," ",""))+1</f>
        <v/>
      </c>
      <c r="R120">
        <f>LEN(TRIM(I120))-LEN(SUBSTITUTE(TRIM(I120)," ",""))+1</f>
        <v/>
      </c>
      <c r="S120">
        <f>LEN(TRIM(J120))-LEN(SUBSTITUTE(TRIM(J120)," ",""))+1</f>
        <v/>
      </c>
      <c r="T120">
        <f>LEN(TRIM(K120))-LEN(SUBSTITUTE(TRIM(K120)," ",""))+1</f>
        <v/>
      </c>
      <c r="U120">
        <f>LEN(TRIM(L120))-LEN(SUBSTITUTE(TRIM(L120)," ",""))+1</f>
        <v/>
      </c>
    </row>
    <row r="121">
      <c r="C121" t="inlineStr">
        <is>
          <t>Finals</t>
        </is>
      </c>
      <c r="D121" t="inlineStr">
        <is>
          <t>compare major trade blocs: EU, ASEAN, USMCA, AfCFTA</t>
        </is>
      </c>
      <c r="E121" t="inlineStr">
        <is>
          <t>Week 14 — Regional Economic Integration and Trade Blocs</t>
        </is>
      </c>
      <c r="F121" t="inlineStr">
        <is>
          <t>In comparing the European Union and the ASEAN Economic Community, which statement accurately reflects their relative integration depth?</t>
        </is>
      </c>
      <c r="G121" t="inlineStr">
        <is>
          <t>Multiple Choice</t>
        </is>
      </c>
      <c r="H121" t="inlineStr">
        <is>
          <t>Analyzing</t>
        </is>
      </c>
      <c r="I121" t="inlineStr">
        <is>
          <t>ASEAN has achieved a full economic union akin to the EU.</t>
        </is>
      </c>
      <c r="J121" t="inlineStr">
        <is>
          <t>Both have adopted a common currency and fully harmonised fiscal policies.</t>
        </is>
      </c>
      <c r="K121" t="inlineStr">
        <is>
          <t>The EU represents a deeper integration, functioning as an economic union.</t>
        </is>
      </c>
      <c r="L121" t="inlineStr">
        <is>
          <t>ASEAN is a free trade area that has not progressed beyond eliminating internal tariffs.</t>
        </is>
      </c>
      <c r="M121" t="inlineStr">
        <is>
          <t>C</t>
        </is>
      </c>
      <c r="N121" t="inlineStr">
        <is>
          <t>The EU represents a deeper integration, functioning as an economic union.</t>
        </is>
      </c>
      <c r="O121">
        <f>ROUND(SUM(Q121:U121)*1.3,0)</f>
        <v/>
      </c>
      <c r="Q121">
        <f>LEN(TRIM(F121))-LEN(SUBSTITUTE(TRIM(F121)," ",""))+1</f>
        <v/>
      </c>
      <c r="R121">
        <f>LEN(TRIM(I121))-LEN(SUBSTITUTE(TRIM(I121)," ",""))+1</f>
        <v/>
      </c>
      <c r="S121">
        <f>LEN(TRIM(J121))-LEN(SUBSTITUTE(TRIM(J121)," ",""))+1</f>
        <v/>
      </c>
      <c r="T121">
        <f>LEN(TRIM(K121))-LEN(SUBSTITUTE(TRIM(K121)," ",""))+1</f>
        <v/>
      </c>
      <c r="U121">
        <f>LEN(TRIM(L121))-LEN(SUBSTITUTE(TRIM(L121)," ",""))+1</f>
        <v/>
      </c>
    </row>
    <row r="122">
      <c r="C122" t="inlineStr">
        <is>
          <t>Finals</t>
        </is>
      </c>
      <c r="D122" t="inlineStr">
        <is>
          <t>explain the levels and forms of regional economic integration</t>
        </is>
      </c>
      <c r="E122" t="inlineStr">
        <is>
          <t>Week 14 — Regional Economic Integration and Trade Blocs</t>
        </is>
      </c>
      <c r="F122" t="inlineStr">
        <is>
          <t>A Philippine electronics firm previously sourced components from a Chinese supplier under a bilateral deal. After RCEP takes effect, it switches to a Malaysian supplier whose pre‑agreement costs were higher, but now the tariff elimination makes the latter cheaper. This illustrates:</t>
        </is>
      </c>
      <c r="G122" t="inlineStr">
        <is>
          <t>Multiple Choice</t>
        </is>
      </c>
      <c r="H122" t="inlineStr">
        <is>
          <t>Applying</t>
        </is>
      </c>
      <c r="I122" t="inlineStr">
        <is>
          <t>Trade creation</t>
        </is>
      </c>
      <c r="J122" t="inlineStr">
        <is>
          <t>Trade diversion</t>
        </is>
      </c>
      <c r="K122" t="inlineStr">
        <is>
          <t>Economic union deepening</t>
        </is>
      </c>
      <c r="L122" t="inlineStr">
        <is>
          <t>Preferential trade liberalisation</t>
        </is>
      </c>
      <c r="M122" t="inlineStr">
        <is>
          <t>B</t>
        </is>
      </c>
      <c r="N122" t="inlineStr">
        <is>
          <t>Trade diversion</t>
        </is>
      </c>
      <c r="O122">
        <f>ROUND(SUM(Q122:U122)*1.3,0)</f>
        <v/>
      </c>
      <c r="Q122">
        <f>LEN(TRIM(F122))-LEN(SUBSTITUTE(TRIM(F122)," ",""))+1</f>
        <v/>
      </c>
      <c r="R122">
        <f>LEN(TRIM(I122))-LEN(SUBSTITUTE(TRIM(I122)," ",""))+1</f>
        <v/>
      </c>
      <c r="S122">
        <f>LEN(TRIM(J122))-LEN(SUBSTITUTE(TRIM(J122)," ",""))+1</f>
        <v/>
      </c>
      <c r="T122">
        <f>LEN(TRIM(K122))-LEN(SUBSTITUTE(TRIM(K122)," ",""))+1</f>
        <v/>
      </c>
      <c r="U122">
        <f>LEN(TRIM(L122))-LEN(SUBSTITUTE(TRIM(L122)," ",""))+1</f>
        <v/>
      </c>
    </row>
    <row r="123">
      <c r="C123" t="inlineStr">
        <is>
          <t>Finals</t>
        </is>
      </c>
      <c r="D123" t="inlineStr">
        <is>
          <t>evaluate the benefits and challenges of ASEAN economic integration for Philippine businesses</t>
        </is>
      </c>
      <c r="E123" t="inlineStr">
        <is>
          <t>Week 14 — Regional Economic Integration and Trade Blocs</t>
        </is>
      </c>
      <c r="F123" t="inlineStr">
        <is>
          <t>After the Senate's 2023 ratification of RCEP, a Philippine manufacturer seeks to use both AFTA and RCEP preferences. What is the most significant obstacle it is likely to encounter?</t>
        </is>
      </c>
      <c r="G123" t="inlineStr">
        <is>
          <t>Multiple Choice</t>
        </is>
      </c>
      <c r="H123" t="inlineStr">
        <is>
          <t>Evaluating</t>
        </is>
      </c>
      <c r="I123" t="inlineStr">
        <is>
          <t>Harmonizing fiscal policies across all partner countries</t>
        </is>
      </c>
      <c r="J123" t="inlineStr">
        <is>
          <t>Complying with distinct rules of origin across agreements</t>
        </is>
      </c>
      <c r="K123" t="inlineStr">
        <is>
          <t>Adhering to a common external tariff regime</t>
        </is>
      </c>
      <c r="L123" t="inlineStr">
        <is>
          <t>Establishing a regional currency union</t>
        </is>
      </c>
      <c r="M123" t="inlineStr">
        <is>
          <t>B</t>
        </is>
      </c>
      <c r="N123" t="inlineStr">
        <is>
          <t>Complying with distinct rules of origin across agreements</t>
        </is>
      </c>
      <c r="O123">
        <f>ROUND(SUM(Q123:U123)*1.3,0)</f>
        <v/>
      </c>
      <c r="Q123">
        <f>LEN(TRIM(F123))-LEN(SUBSTITUTE(TRIM(F123)," ",""))+1</f>
        <v/>
      </c>
      <c r="R123">
        <f>LEN(TRIM(I123))-LEN(SUBSTITUTE(TRIM(I123)," ",""))+1</f>
        <v/>
      </c>
      <c r="S123">
        <f>LEN(TRIM(J123))-LEN(SUBSTITUTE(TRIM(J123)," ",""))+1</f>
        <v/>
      </c>
      <c r="T123">
        <f>LEN(TRIM(K123))-LEN(SUBSTITUTE(TRIM(K123)," ",""))+1</f>
        <v/>
      </c>
      <c r="U123">
        <f>LEN(TRIM(L123))-LEN(SUBSTITUTE(TRIM(L123)," ",""))+1</f>
        <v/>
      </c>
    </row>
    <row r="124">
      <c r="C124" t="inlineStr">
        <is>
          <t>Finals</t>
        </is>
      </c>
      <c r="D124" t="inlineStr">
        <is>
          <t>compare major trade blocs: EU, ASEAN, USMCA, AfCFTA</t>
        </is>
      </c>
      <c r="E124" t="inlineStr">
        <is>
          <t>Week 14 — Regional Economic Integration and Trade Blocs</t>
        </is>
      </c>
      <c r="F124" t="inlineStr">
        <is>
          <t>What key structural difference distinguishes the African Continental Free Trade Area (AfCFTA) from Mercosur?</t>
        </is>
      </c>
      <c r="G124" t="inlineStr">
        <is>
          <t>Multiple Choice</t>
        </is>
      </c>
      <c r="H124" t="inlineStr">
        <is>
          <t>Analyzing</t>
        </is>
      </c>
      <c r="I124" t="inlineStr">
        <is>
          <t>Mercosur includes several Asian member states.</t>
        </is>
      </c>
      <c r="J124" t="inlineStr">
        <is>
          <t>Both have achieved a deep economic union with a common currency.</t>
        </is>
      </c>
      <c r="K124" t="inlineStr">
        <is>
          <t>AfCFTA covers an entire continent, while Mercosur is a sub‑regional bloc.</t>
        </is>
      </c>
      <c r="L124" t="inlineStr">
        <is>
          <t>AfCFTA is a customs union with a common external tariff.</t>
        </is>
      </c>
      <c r="M124" t="inlineStr">
        <is>
          <t>C</t>
        </is>
      </c>
      <c r="N124" t="inlineStr">
        <is>
          <t>AfCFTA covers an entire continent, while Mercosur is a sub‑regional bloc.</t>
        </is>
      </c>
      <c r="O124">
        <f>ROUND(SUM(Q124:U124)*1.3,0)</f>
        <v/>
      </c>
      <c r="Q124">
        <f>LEN(TRIM(F124))-LEN(SUBSTITUTE(TRIM(F124)," ",""))+1</f>
        <v/>
      </c>
      <c r="R124">
        <f>LEN(TRIM(I124))-LEN(SUBSTITUTE(TRIM(I124)," ",""))+1</f>
        <v/>
      </c>
      <c r="S124">
        <f>LEN(TRIM(J124))-LEN(SUBSTITUTE(TRIM(J124)," ",""))+1</f>
        <v/>
      </c>
      <c r="T124">
        <f>LEN(TRIM(K124))-LEN(SUBSTITUTE(TRIM(K124)," ",""))+1</f>
        <v/>
      </c>
      <c r="U124">
        <f>LEN(TRIM(L124))-LEN(SUBSTITUTE(TRIM(L124)," ",""))+1</f>
        <v/>
      </c>
    </row>
    <row r="125">
      <c r="C125" t="inlineStr">
        <is>
          <t>Finals</t>
        </is>
      </c>
      <c r="D125" t="inlineStr">
        <is>
          <t>explain ethical frameworks and CSR concepts in the context of international business</t>
        </is>
      </c>
      <c r="E125" t="inlineStr">
        <is>
          <t>Week 15 — International Business Ethics and CSR</t>
        </is>
      </c>
      <c r="F125" t="inlineStr">
        <is>
          <t>Under a utilitarian analysis, a mining project that displaces a community is permissible if it:</t>
        </is>
      </c>
      <c r="G125" t="inlineStr">
        <is>
          <t>Multiple Choice</t>
        </is>
      </c>
      <c r="H125" t="inlineStr">
        <is>
          <t>Understanding</t>
        </is>
      </c>
      <c r="I125" t="inlineStr">
        <is>
          <t>Follows legal permits</t>
        </is>
      </c>
      <c r="J125" t="inlineStr">
        <is>
          <t>Respects land rights</t>
        </is>
      </c>
      <c r="K125" t="inlineStr">
        <is>
          <t>Ensures fair compensation</t>
        </is>
      </c>
      <c r="L125" t="inlineStr">
        <is>
          <t>Maximizes net welfare</t>
        </is>
      </c>
      <c r="M125" t="inlineStr">
        <is>
          <t>D</t>
        </is>
      </c>
      <c r="N125" t="inlineStr">
        <is>
          <t>Maximizes net welfare</t>
        </is>
      </c>
      <c r="O125">
        <f>ROUND(SUM(Q125:U125)*1.3,0)</f>
        <v/>
      </c>
      <c r="Q125">
        <f>LEN(TRIM(F125))-LEN(SUBSTITUTE(TRIM(F125)," ",""))+1</f>
        <v/>
      </c>
      <c r="R125">
        <f>LEN(TRIM(I125))-LEN(SUBSTITUTE(TRIM(I125)," ",""))+1</f>
        <v/>
      </c>
      <c r="S125">
        <f>LEN(TRIM(J125))-LEN(SUBSTITUTE(TRIM(J125)," ",""))+1</f>
        <v/>
      </c>
      <c r="T125">
        <f>LEN(TRIM(K125))-LEN(SUBSTITUTE(TRIM(K125)," ",""))+1</f>
        <v/>
      </c>
      <c r="U125">
        <f>LEN(TRIM(L125))-LEN(SUBSTITUTE(TRIM(L125)," ",""))+1</f>
        <v/>
      </c>
    </row>
    <row r="126">
      <c r="C126" t="inlineStr">
        <is>
          <t>Finals</t>
        </is>
      </c>
      <c r="D126" t="inlineStr">
        <is>
          <t>explain ethical frameworks and CSR concepts in the context of international business</t>
        </is>
      </c>
      <c r="E126" t="inlineStr">
        <is>
          <t>Week 15 — International Business Ethics and CSR</t>
        </is>
      </c>
      <c r="F126" t="inlineStr">
        <is>
          <t>The rights-based ethical framework is grounded in the philosophy of:</t>
        </is>
      </c>
      <c r="G126" t="inlineStr">
        <is>
          <t>Multiple Choice</t>
        </is>
      </c>
      <c r="H126" t="inlineStr">
        <is>
          <t>Remembering</t>
        </is>
      </c>
      <c r="I126" t="inlineStr">
        <is>
          <t>Jeremy Bentham</t>
        </is>
      </c>
      <c r="J126" t="inlineStr">
        <is>
          <t>John Rawls</t>
        </is>
      </c>
      <c r="K126" t="inlineStr">
        <is>
          <t>Immanuel Kant</t>
        </is>
      </c>
      <c r="L126" t="inlineStr">
        <is>
          <t>Aristotle</t>
        </is>
      </c>
      <c r="M126" t="inlineStr">
        <is>
          <t>C</t>
        </is>
      </c>
      <c r="N126" t="inlineStr">
        <is>
          <t>Immanuel Kant</t>
        </is>
      </c>
      <c r="O126">
        <f>ROUND(SUM(Q126:U126)*1.3,0)</f>
        <v/>
      </c>
      <c r="Q126">
        <f>LEN(TRIM(F126))-LEN(SUBSTITUTE(TRIM(F126)," ",""))+1</f>
        <v/>
      </c>
      <c r="R126">
        <f>LEN(TRIM(I126))-LEN(SUBSTITUTE(TRIM(I126)," ",""))+1</f>
        <v/>
      </c>
      <c r="S126">
        <f>LEN(TRIM(J126))-LEN(SUBSTITUTE(TRIM(J126)," ",""))+1</f>
        <v/>
      </c>
      <c r="T126">
        <f>LEN(TRIM(K126))-LEN(SUBSTITUTE(TRIM(K126)," ",""))+1</f>
        <v/>
      </c>
      <c r="U126">
        <f>LEN(TRIM(L126))-LEN(SUBSTITUTE(TRIM(L126)," ",""))+1</f>
        <v/>
      </c>
    </row>
    <row r="127">
      <c r="C127" t="inlineStr">
        <is>
          <t>Finals</t>
        </is>
      </c>
      <c r="D127" t="inlineStr">
        <is>
          <t>explain ethical frameworks and CSR concepts in the context of international business</t>
        </is>
      </c>
      <c r="E127" t="inlineStr">
        <is>
          <t>Week 15 — International Business Ethics and CSR</t>
        </is>
      </c>
      <c r="F127" t="inlineStr">
        <is>
          <t>A CEO designing a global pay policy uses a 'veil of ignorance' approach. This aligns with:</t>
        </is>
      </c>
      <c r="G127" t="inlineStr">
        <is>
          <t>Multiple Choice</t>
        </is>
      </c>
      <c r="H127" t="inlineStr">
        <is>
          <t>Applying</t>
        </is>
      </c>
      <c r="I127" t="inlineStr">
        <is>
          <t>Utilitarian calculus</t>
        </is>
      </c>
      <c r="J127" t="inlineStr">
        <is>
          <t>Kantian rights</t>
        </is>
      </c>
      <c r="K127" t="inlineStr">
        <is>
          <t>Rawlsian justice</t>
        </is>
      </c>
      <c r="L127" t="inlineStr">
        <is>
          <t>Aristotelian virtue</t>
        </is>
      </c>
      <c r="M127" t="inlineStr">
        <is>
          <t>C</t>
        </is>
      </c>
      <c r="N127" t="inlineStr">
        <is>
          <t>Rawlsian justice</t>
        </is>
      </c>
      <c r="O127">
        <f>ROUND(SUM(Q127:U127)*1.3,0)</f>
        <v/>
      </c>
      <c r="Q127">
        <f>LEN(TRIM(F127))-LEN(SUBSTITUTE(TRIM(F127)," ",""))+1</f>
        <v/>
      </c>
      <c r="R127">
        <f>LEN(TRIM(I127))-LEN(SUBSTITUTE(TRIM(I127)," ",""))+1</f>
        <v/>
      </c>
      <c r="S127">
        <f>LEN(TRIM(J127))-LEN(SUBSTITUTE(TRIM(J127)," ",""))+1</f>
        <v/>
      </c>
      <c r="T127">
        <f>LEN(TRIM(K127))-LEN(SUBSTITUTE(TRIM(K127)," ",""))+1</f>
        <v/>
      </c>
      <c r="U127">
        <f>LEN(TRIM(L127))-LEN(SUBSTITUTE(TRIM(L127)," ",""))+1</f>
        <v/>
      </c>
    </row>
    <row r="128">
      <c r="C128" t="inlineStr">
        <is>
          <t>Finals</t>
        </is>
      </c>
      <c r="D128" t="inlineStr">
        <is>
          <t>explain ethical frameworks and CSR concepts in the context of international business</t>
        </is>
      </c>
      <c r="E128" t="inlineStr">
        <is>
          <t>Week 15 — International Business Ethics and CSR</t>
        </is>
      </c>
      <c r="F128" t="inlineStr">
        <is>
          <t>Which ethical framework is most criticized for potentially overriding fundamental individual rights for the sake of collective benefit?</t>
        </is>
      </c>
      <c r="G128" t="inlineStr">
        <is>
          <t>Multiple Choice</t>
        </is>
      </c>
      <c r="H128" t="inlineStr">
        <is>
          <t>Analyzing</t>
        </is>
      </c>
      <c r="I128" t="inlineStr">
        <is>
          <t>Rights-based ethics</t>
        </is>
      </c>
      <c r="J128" t="inlineStr">
        <is>
          <t>Utilitarian ethics</t>
        </is>
      </c>
      <c r="K128" t="inlineStr">
        <is>
          <t>Justice-based ethics</t>
        </is>
      </c>
      <c r="L128" t="inlineStr">
        <is>
          <t>Virtue ethics</t>
        </is>
      </c>
      <c r="M128" t="inlineStr">
        <is>
          <t>B</t>
        </is>
      </c>
      <c r="N128" t="inlineStr">
        <is>
          <t>Utilitarian ethics</t>
        </is>
      </c>
      <c r="O128">
        <f>ROUND(SUM(Q128:U128)*1.3,0)</f>
        <v/>
      </c>
      <c r="Q128">
        <f>LEN(TRIM(F128))-LEN(SUBSTITUTE(TRIM(F128)," ",""))+1</f>
        <v/>
      </c>
      <c r="R128">
        <f>LEN(TRIM(I128))-LEN(SUBSTITUTE(TRIM(I128)," ",""))+1</f>
        <v/>
      </c>
      <c r="S128">
        <f>LEN(TRIM(J128))-LEN(SUBSTITUTE(TRIM(J128)," ",""))+1</f>
        <v/>
      </c>
      <c r="T128">
        <f>LEN(TRIM(K128))-LEN(SUBSTITUTE(TRIM(K128)," ",""))+1</f>
        <v/>
      </c>
      <c r="U128">
        <f>LEN(TRIM(L128))-LEN(SUBSTITUTE(TRIM(L128)," ",""))+1</f>
        <v/>
      </c>
    </row>
    <row r="129">
      <c r="C129" t="inlineStr">
        <is>
          <t>Finals</t>
        </is>
      </c>
      <c r="D129" t="inlineStr">
        <is>
          <t>explain ethical frameworks and CSR concepts in the context of international business</t>
        </is>
      </c>
      <c r="E129" t="inlineStr">
        <is>
          <t>Week 15 — International Business Ethics and CSR</t>
        </is>
      </c>
      <c r="F129" t="inlineStr">
        <is>
          <t>Which ethical framework emphasizes corporate culture over compliance checklists?</t>
        </is>
      </c>
      <c r="G129" t="inlineStr">
        <is>
          <t>Multiple Choice</t>
        </is>
      </c>
      <c r="H129" t="inlineStr">
        <is>
          <t>Remembering</t>
        </is>
      </c>
      <c r="I129" t="inlineStr">
        <is>
          <t>Virtue ethics</t>
        </is>
      </c>
      <c r="J129" t="inlineStr">
        <is>
          <t>Rights-based ethics</t>
        </is>
      </c>
      <c r="K129" t="inlineStr">
        <is>
          <t>Justice-based ethics</t>
        </is>
      </c>
      <c r="L129" t="inlineStr">
        <is>
          <t>Utilitarian ethics</t>
        </is>
      </c>
      <c r="M129" t="inlineStr">
        <is>
          <t>A</t>
        </is>
      </c>
      <c r="N129" t="inlineStr">
        <is>
          <t>Virtue ethics</t>
        </is>
      </c>
      <c r="O129">
        <f>ROUND(SUM(Q129:U129)*1.3,0)</f>
        <v/>
      </c>
      <c r="Q129">
        <f>LEN(TRIM(F129))-LEN(SUBSTITUTE(TRIM(F129)," ",""))+1</f>
        <v/>
      </c>
      <c r="R129">
        <f>LEN(TRIM(I129))-LEN(SUBSTITUTE(TRIM(I129)," ",""))+1</f>
        <v/>
      </c>
      <c r="S129">
        <f>LEN(TRIM(J129))-LEN(SUBSTITUTE(TRIM(J129)," ",""))+1</f>
        <v/>
      </c>
      <c r="T129">
        <f>LEN(TRIM(K129))-LEN(SUBSTITUTE(TRIM(K129)," ",""))+1</f>
        <v/>
      </c>
      <c r="U129">
        <f>LEN(TRIM(L129))-LEN(SUBSTITUTE(TRIM(L129)," ",""))+1</f>
        <v/>
      </c>
    </row>
    <row r="130">
      <c r="C130" t="inlineStr">
        <is>
          <t>Finals</t>
        </is>
      </c>
      <c r="D130" t="inlineStr">
        <is>
          <t>Identify the countries that constitute the MINT grouping</t>
        </is>
      </c>
      <c r="E130" t="inlineStr">
        <is>
          <t>Week 16 — Emerging Markets and Innovation in Global Business</t>
        </is>
      </c>
      <c r="F130" t="inlineStr">
        <is>
          <t>Which set of countries constitutes the MINT grouping identified by Jim O'Neill in 2011?</t>
        </is>
      </c>
      <c r="G130" t="inlineStr">
        <is>
          <t>Multiple Choice</t>
        </is>
      </c>
      <c r="H130" t="inlineStr">
        <is>
          <t>Remembering</t>
        </is>
      </c>
      <c r="I130" t="inlineStr">
        <is>
          <t>Brazil, Russia, India, China, South Africa</t>
        </is>
      </c>
      <c r="J130" t="inlineStr">
        <is>
          <t>South Korea, Vietnam, Philippines, Indonesia</t>
        </is>
      </c>
      <c r="K130" t="inlineStr">
        <is>
          <t>Bangladesh, Egypt, Iran, Pakistan</t>
        </is>
      </c>
      <c r="L130" t="inlineStr">
        <is>
          <t>Mexico, Indonesia, Nigeria, Turkey</t>
        </is>
      </c>
      <c r="M130" t="inlineStr">
        <is>
          <t>D</t>
        </is>
      </c>
      <c r="N130" t="inlineStr">
        <is>
          <t>Mexico, Indonesia, Nigeria, Turkey</t>
        </is>
      </c>
      <c r="O130">
        <f>ROUND(SUM(Q130:U130)*1.3,0)</f>
        <v/>
      </c>
      <c r="Q130">
        <f>LEN(TRIM(F130))-LEN(SUBSTITUTE(TRIM(F130)," ",""))+1</f>
        <v/>
      </c>
      <c r="R130">
        <f>LEN(TRIM(I130))-LEN(SUBSTITUTE(TRIM(I130)," ",""))+1</f>
        <v/>
      </c>
      <c r="S130">
        <f>LEN(TRIM(J130))-LEN(SUBSTITUTE(TRIM(J130)," ",""))+1</f>
        <v/>
      </c>
      <c r="T130">
        <f>LEN(TRIM(K130))-LEN(SUBSTITUTE(TRIM(K130)," ",""))+1</f>
        <v/>
      </c>
      <c r="U130">
        <f>LEN(TRIM(L130))-LEN(SUBSTITUTE(TRIM(L130)," ",""))+1</f>
        <v/>
      </c>
    </row>
    <row r="131">
      <c r="C131" t="inlineStr">
        <is>
          <t>Finals</t>
        </is>
      </c>
      <c r="D131" t="inlineStr">
        <is>
          <t>explain contemporary issues reshaping the international business landscape</t>
        </is>
      </c>
      <c r="E131" t="inlineStr">
        <is>
          <t>Week 17 — Contemporary Issues and Future of International Business</t>
        </is>
      </c>
      <c r="F131" t="inlineStr">
        <is>
          <t>What is the primary purpose of the EU's Carbon Border Adjustment Mechanism (CBAM)?</t>
        </is>
      </c>
      <c r="G131" t="inlineStr">
        <is>
          <t>Multiple Choice</t>
        </is>
      </c>
      <c r="H131" t="inlineStr">
        <is>
          <t>Understanding</t>
        </is>
      </c>
      <c r="I131" t="inlineStr">
        <is>
          <t>Enforce data localization standards</t>
        </is>
      </c>
      <c r="J131" t="inlineStr">
        <is>
          <t>Prevent carbon leakage and level competition</t>
        </is>
      </c>
      <c r="K131" t="inlineStr">
        <is>
          <t>Collect tariffs on digital transmissions</t>
        </is>
      </c>
      <c r="L131" t="inlineStr">
        <is>
          <t>Mandate source code disclosure rules</t>
        </is>
      </c>
      <c r="M131" t="inlineStr">
        <is>
          <t>B</t>
        </is>
      </c>
      <c r="N131" t="inlineStr">
        <is>
          <t>Prevent carbon leakage and level competition</t>
        </is>
      </c>
      <c r="O131">
        <f>ROUND(SUM(Q131:U131)*1.3,0)</f>
        <v/>
      </c>
      <c r="Q131">
        <f>LEN(TRIM(F131))-LEN(SUBSTITUTE(TRIM(F131)," ",""))+1</f>
        <v/>
      </c>
      <c r="R131">
        <f>LEN(TRIM(I131))-LEN(SUBSTITUTE(TRIM(I131)," ",""))+1</f>
        <v/>
      </c>
      <c r="S131">
        <f>LEN(TRIM(J131))-LEN(SUBSTITUTE(TRIM(J131)," ",""))+1</f>
        <v/>
      </c>
      <c r="T131">
        <f>LEN(TRIM(K131))-LEN(SUBSTITUTE(TRIM(K131)," ",""))+1</f>
        <v/>
      </c>
      <c r="U131">
        <f>LEN(TRIM(L131))-LEN(SUBSTITUTE(TRIM(L131)," ",""))+1</f>
        <v/>
      </c>
    </row>
    <row r="132">
      <c r="C132" t="inlineStr">
        <is>
          <t>Finals</t>
        </is>
      </c>
      <c r="D132" t="inlineStr">
        <is>
          <t>explain contemporary issues reshaping the international business landscape</t>
        </is>
      </c>
      <c r="E132" t="inlineStr">
        <is>
          <t>Week 17 — Contemporary Issues and Future of International Business</t>
        </is>
      </c>
      <c r="F132" t="inlineStr">
        <is>
          <t>A Philippine steel exporter to the EU is now covered by CBAM. What immediate action is most appropriate?</t>
        </is>
      </c>
      <c r="G132" t="inlineStr">
        <is>
          <t>Multiple Choice</t>
        </is>
      </c>
      <c r="H132" t="inlineStr">
        <is>
          <t>Applying</t>
        </is>
      </c>
      <c r="I132" t="inlineStr">
        <is>
          <t>Reduce production carbon emissions</t>
        </is>
      </c>
      <c r="J132" t="inlineStr">
        <is>
          <t>Seek exemption from digital taxes</t>
        </is>
      </c>
      <c r="K132" t="inlineStr">
        <is>
          <t>Shift to exporting digital services</t>
        </is>
      </c>
      <c r="L132" t="inlineStr">
        <is>
          <t>Diversify into e-commerce retail</t>
        </is>
      </c>
      <c r="M132" t="inlineStr">
        <is>
          <t>A</t>
        </is>
      </c>
      <c r="N132" t="inlineStr">
        <is>
          <t>Reduce production carbon emissions</t>
        </is>
      </c>
      <c r="O132">
        <f>ROUND(SUM(Q132:U132)*1.3,0)</f>
        <v/>
      </c>
      <c r="Q132">
        <f>LEN(TRIM(F132))-LEN(SUBSTITUTE(TRIM(F132)," ",""))+1</f>
        <v/>
      </c>
      <c r="R132">
        <f>LEN(TRIM(I132))-LEN(SUBSTITUTE(TRIM(I132)," ",""))+1</f>
        <v/>
      </c>
      <c r="S132">
        <f>LEN(TRIM(J132))-LEN(SUBSTITUTE(TRIM(J132)," ",""))+1</f>
        <v/>
      </c>
      <c r="T132">
        <f>LEN(TRIM(K132))-LEN(SUBSTITUTE(TRIM(K132)," ",""))+1</f>
        <v/>
      </c>
      <c r="U132">
        <f>LEN(TRIM(L132))-LEN(SUBSTITUTE(TRIM(L132)," ",""))+1</f>
        <v/>
      </c>
    </row>
    <row r="133">
      <c r="C133" t="inlineStr">
        <is>
          <t>Finals</t>
        </is>
      </c>
      <c r="D133" t="inlineStr">
        <is>
          <t>explain contemporary issues reshaping the international business landscape</t>
        </is>
      </c>
      <c r="E133" t="inlineStr">
        <is>
          <t>Week 17 — Contemporary Issues and Future of International Business</t>
        </is>
      </c>
      <c r="F133" t="inlineStr">
        <is>
          <t>A Philippine organic coconut exporter wants to capitalize on green trade trends. Which strategy is best?</t>
        </is>
      </c>
      <c r="G133" t="inlineStr">
        <is>
          <t>Multiple Choice</t>
        </is>
      </c>
      <c r="H133" t="inlineStr">
        <is>
          <t>Applying</t>
        </is>
      </c>
      <c r="I133" t="inlineStr">
        <is>
          <t>Acquire data localization certifications</t>
        </is>
      </c>
      <c r="J133" t="inlineStr">
        <is>
          <t>Invest in internet infrastructure improvements</t>
        </is>
      </c>
      <c r="K133" t="inlineStr">
        <is>
          <t>Develop renewable energy equipment for export</t>
        </is>
      </c>
      <c r="L133" t="inlineStr">
        <is>
          <t>Pursue sustainable farming certification</t>
        </is>
      </c>
      <c r="M133" t="inlineStr">
        <is>
          <t>D</t>
        </is>
      </c>
      <c r="N133" t="inlineStr">
        <is>
          <t>Pursue sustainable farming certification</t>
        </is>
      </c>
      <c r="O133">
        <f>ROUND(SUM(Q133:U133)*1.3,0)</f>
        <v/>
      </c>
      <c r="Q133">
        <f>LEN(TRIM(F133))-LEN(SUBSTITUTE(TRIM(F133)," ",""))+1</f>
        <v/>
      </c>
      <c r="R133">
        <f>LEN(TRIM(I133))-LEN(SUBSTITUTE(TRIM(I133)," ",""))+1</f>
        <v/>
      </c>
      <c r="S133">
        <f>LEN(TRIM(J133))-LEN(SUBSTITUTE(TRIM(J133)," ",""))+1</f>
        <v/>
      </c>
      <c r="T133">
        <f>LEN(TRIM(K133))-LEN(SUBSTITUTE(TRIM(K133)," ",""))+1</f>
        <v/>
      </c>
      <c r="U133">
        <f>LEN(TRIM(L133))-LEN(SUBSTITUTE(TRIM(L133)," ",""))+1</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2026-07-02T14:30:46Z</dcterms:created>
  <dcterms:modified xmlns:dcterms="http://purl.org/dc/terms/" xmlns:xsi="http://www.w3.org/2001/XMLSchema-instance" xsi:type="dcterms:W3CDTF">2026-07-05T00:17:55Z</dcterms:modified>
  <cp:lastModifiedBy>daneve obero</cp:lastModifiedBy>
</cp:coreProperties>
</file>