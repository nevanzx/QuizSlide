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shortcut-targets-by-id\1QV9Y5VHjGjiNrKFPhC-Bc7BYyOJ0358P\DANEVE OBERO\REVISED SUBJECT\Subjects\FM104\Quiz\"/>
    </mc:Choice>
  </mc:AlternateContent>
  <xr:revisionPtr revIDLastSave="0" documentId="13_ncr:1_{17805437-B191-40A0-9D0A-4958CE41E75F}" xr6:coauthVersionLast="47" xr6:coauthVersionMax="47" xr10:uidLastSave="{00000000-0000-0000-0000-000000000000}"/>
  <bookViews>
    <workbookView xWindow="-108" yWindow="-108" windowWidth="23256" windowHeight="12576" xr2:uid="{00000000-000D-0000-FFFF-FFFF00000000}"/>
  </bookViews>
  <sheets>
    <sheet name="Quiz Ques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O3" i="1" s="1"/>
  <c r="R3" i="1"/>
  <c r="S3" i="1"/>
  <c r="T3" i="1"/>
  <c r="U3" i="1"/>
  <c r="O4" i="1"/>
  <c r="Q4" i="1"/>
  <c r="R4" i="1"/>
  <c r="S4" i="1"/>
  <c r="T4" i="1"/>
  <c r="U4" i="1"/>
  <c r="Q5" i="1"/>
  <c r="O5" i="1" s="1"/>
  <c r="R5" i="1"/>
  <c r="S5" i="1"/>
  <c r="T5" i="1"/>
  <c r="U5" i="1"/>
  <c r="Q6" i="1"/>
  <c r="O6" i="1" s="1"/>
  <c r="R6" i="1"/>
  <c r="S6" i="1"/>
  <c r="T6" i="1"/>
  <c r="U6" i="1"/>
  <c r="Q7" i="1"/>
  <c r="O7" i="1" s="1"/>
  <c r="R7" i="1"/>
  <c r="S7" i="1"/>
  <c r="T7" i="1"/>
  <c r="U7" i="1"/>
  <c r="O8" i="1"/>
  <c r="Q8" i="1"/>
  <c r="R8" i="1"/>
  <c r="S8" i="1"/>
  <c r="T8" i="1"/>
  <c r="U8" i="1"/>
  <c r="Q9" i="1"/>
  <c r="R9" i="1"/>
  <c r="O9" i="1" s="1"/>
  <c r="S9" i="1"/>
  <c r="T9" i="1"/>
  <c r="U9" i="1"/>
  <c r="Q10" i="1"/>
  <c r="O10" i="1" s="1"/>
  <c r="R10" i="1"/>
  <c r="S10" i="1"/>
  <c r="T10" i="1"/>
  <c r="U10" i="1"/>
  <c r="Q11" i="1"/>
  <c r="O11" i="1" s="1"/>
  <c r="R11" i="1"/>
  <c r="S11" i="1"/>
  <c r="T11" i="1"/>
  <c r="U11" i="1"/>
  <c r="O12" i="1"/>
  <c r="Q12" i="1"/>
  <c r="R12" i="1"/>
  <c r="S12" i="1"/>
  <c r="T12" i="1"/>
  <c r="U12" i="1"/>
  <c r="Q13" i="1"/>
  <c r="O13" i="1" s="1"/>
  <c r="R13" i="1"/>
  <c r="S13" i="1"/>
  <c r="T13" i="1"/>
  <c r="U13" i="1"/>
  <c r="Q14" i="1"/>
  <c r="O14" i="1" s="1"/>
  <c r="R14" i="1"/>
  <c r="S14" i="1"/>
  <c r="T14" i="1"/>
  <c r="U14" i="1"/>
  <c r="Q15" i="1"/>
  <c r="O15" i="1" s="1"/>
  <c r="R15" i="1"/>
  <c r="S15" i="1"/>
  <c r="T15" i="1"/>
  <c r="U15" i="1"/>
  <c r="O16" i="1"/>
  <c r="Q16" i="1"/>
  <c r="R16" i="1"/>
  <c r="S16" i="1"/>
  <c r="T16" i="1"/>
  <c r="U16" i="1"/>
  <c r="Q17" i="1"/>
  <c r="O17" i="1" s="1"/>
  <c r="R17" i="1"/>
  <c r="S17" i="1"/>
  <c r="T17" i="1"/>
  <c r="U17" i="1"/>
  <c r="Q18" i="1"/>
  <c r="O18" i="1" s="1"/>
  <c r="R18" i="1"/>
  <c r="S18" i="1"/>
  <c r="T18" i="1"/>
  <c r="U18" i="1"/>
  <c r="Q19" i="1"/>
  <c r="O19" i="1" s="1"/>
  <c r="R19" i="1"/>
  <c r="S19" i="1"/>
  <c r="T19" i="1"/>
  <c r="U19" i="1"/>
  <c r="O20" i="1"/>
  <c r="Q20" i="1"/>
  <c r="R20" i="1"/>
  <c r="S20" i="1"/>
  <c r="T20" i="1"/>
  <c r="U20" i="1"/>
  <c r="Q21" i="1"/>
  <c r="O21" i="1" s="1"/>
  <c r="R21" i="1"/>
  <c r="S21" i="1"/>
  <c r="T21" i="1"/>
  <c r="U21" i="1"/>
  <c r="Q22" i="1"/>
  <c r="O22" i="1" s="1"/>
  <c r="R22" i="1"/>
  <c r="S22" i="1"/>
  <c r="T22" i="1"/>
  <c r="U22" i="1"/>
  <c r="Q23" i="1"/>
  <c r="O23" i="1" s="1"/>
  <c r="R23" i="1"/>
  <c r="S23" i="1"/>
  <c r="T23" i="1"/>
  <c r="U23" i="1"/>
  <c r="O24" i="1"/>
  <c r="Q24" i="1"/>
  <c r="R24" i="1"/>
  <c r="S24" i="1"/>
  <c r="T24" i="1"/>
  <c r="U24" i="1"/>
  <c r="Q25" i="1"/>
  <c r="O25" i="1" s="1"/>
  <c r="R25" i="1"/>
  <c r="S25" i="1"/>
  <c r="T25" i="1"/>
  <c r="U25" i="1"/>
  <c r="Q26" i="1"/>
  <c r="O26" i="1" s="1"/>
  <c r="R26" i="1"/>
  <c r="S26" i="1"/>
  <c r="T26" i="1"/>
  <c r="U26" i="1"/>
  <c r="Q27" i="1"/>
  <c r="O27" i="1" s="1"/>
  <c r="R27" i="1"/>
  <c r="S27" i="1"/>
  <c r="T27" i="1"/>
  <c r="U27" i="1"/>
  <c r="O28" i="1"/>
  <c r="Q28" i="1"/>
  <c r="R28" i="1"/>
  <c r="S28" i="1"/>
  <c r="T28" i="1"/>
  <c r="U28" i="1"/>
  <c r="Q29" i="1"/>
  <c r="O29" i="1" s="1"/>
  <c r="R29" i="1"/>
  <c r="S29" i="1"/>
  <c r="T29" i="1"/>
  <c r="U29" i="1"/>
  <c r="Q30" i="1"/>
  <c r="O30" i="1" s="1"/>
  <c r="R30" i="1"/>
  <c r="S30" i="1"/>
  <c r="T30" i="1"/>
  <c r="U30" i="1"/>
  <c r="Q31" i="1"/>
  <c r="O31" i="1" s="1"/>
  <c r="R31" i="1"/>
  <c r="S31" i="1"/>
  <c r="T31" i="1"/>
  <c r="U31" i="1"/>
  <c r="O32" i="1"/>
  <c r="Q32" i="1"/>
  <c r="R32" i="1"/>
  <c r="S32" i="1"/>
  <c r="T32" i="1"/>
  <c r="U32" i="1"/>
  <c r="Q33" i="1"/>
  <c r="O33" i="1" s="1"/>
  <c r="R33" i="1"/>
  <c r="S33" i="1"/>
  <c r="T33" i="1"/>
  <c r="U33" i="1"/>
  <c r="Q34" i="1"/>
  <c r="O34" i="1" s="1"/>
  <c r="R34" i="1"/>
  <c r="S34" i="1"/>
  <c r="T34" i="1"/>
  <c r="U34" i="1"/>
  <c r="Q35" i="1"/>
  <c r="O35" i="1" s="1"/>
  <c r="R35" i="1"/>
  <c r="S35" i="1"/>
  <c r="T35" i="1"/>
  <c r="U35" i="1"/>
  <c r="O36" i="1"/>
  <c r="Q36" i="1"/>
  <c r="R36" i="1"/>
  <c r="S36" i="1"/>
  <c r="T36" i="1"/>
  <c r="U36" i="1"/>
  <c r="Q37" i="1"/>
  <c r="O37" i="1" s="1"/>
  <c r="R37" i="1"/>
  <c r="S37" i="1"/>
  <c r="T37" i="1"/>
  <c r="U37" i="1"/>
  <c r="Q38" i="1"/>
  <c r="O38" i="1" s="1"/>
  <c r="R38" i="1"/>
  <c r="S38" i="1"/>
  <c r="T38" i="1"/>
  <c r="U38" i="1"/>
  <c r="Q39" i="1"/>
  <c r="O39" i="1" s="1"/>
  <c r="R39" i="1"/>
  <c r="S39" i="1"/>
  <c r="T39" i="1"/>
  <c r="U39" i="1"/>
  <c r="O40" i="1"/>
  <c r="Q40" i="1"/>
  <c r="R40" i="1"/>
  <c r="S40" i="1"/>
  <c r="T40" i="1"/>
  <c r="U40" i="1"/>
  <c r="Q41" i="1"/>
  <c r="O41" i="1" s="1"/>
  <c r="R41" i="1"/>
  <c r="S41" i="1"/>
  <c r="T41" i="1"/>
  <c r="U41" i="1"/>
  <c r="Q42" i="1"/>
  <c r="O42" i="1" s="1"/>
  <c r="R42" i="1"/>
  <c r="S42" i="1"/>
  <c r="T42" i="1"/>
  <c r="U42" i="1"/>
  <c r="Q43" i="1"/>
  <c r="O43" i="1" s="1"/>
  <c r="R43" i="1"/>
  <c r="S43" i="1"/>
  <c r="T43" i="1"/>
  <c r="U43" i="1"/>
  <c r="O44" i="1"/>
  <c r="Q44" i="1"/>
  <c r="R44" i="1"/>
  <c r="S44" i="1"/>
  <c r="T44" i="1"/>
  <c r="U44" i="1"/>
  <c r="Q45" i="1"/>
  <c r="O45" i="1" s="1"/>
  <c r="R45" i="1"/>
  <c r="S45" i="1"/>
  <c r="T45" i="1"/>
  <c r="U45" i="1"/>
  <c r="Q46" i="1"/>
  <c r="O46" i="1" s="1"/>
  <c r="R46" i="1"/>
  <c r="S46" i="1"/>
  <c r="T46" i="1"/>
  <c r="U46" i="1"/>
  <c r="Q47" i="1"/>
  <c r="O47" i="1" s="1"/>
  <c r="R47" i="1"/>
  <c r="S47" i="1"/>
  <c r="T47" i="1"/>
  <c r="U47" i="1"/>
  <c r="Q48" i="1"/>
  <c r="R48" i="1"/>
  <c r="S48" i="1"/>
  <c r="T48" i="1"/>
  <c r="U48" i="1"/>
  <c r="Q49" i="1"/>
  <c r="R49" i="1"/>
  <c r="S49" i="1"/>
  <c r="T49" i="1"/>
  <c r="U49" i="1"/>
  <c r="Q50" i="1"/>
  <c r="R50" i="1"/>
  <c r="S50" i="1"/>
  <c r="T50" i="1"/>
  <c r="U50" i="1"/>
  <c r="Q51" i="1"/>
  <c r="O51" i="1" s="1"/>
  <c r="R51" i="1"/>
  <c r="S51" i="1"/>
  <c r="T51" i="1"/>
  <c r="U51" i="1"/>
  <c r="Q52" i="1"/>
  <c r="R52" i="1"/>
  <c r="S52" i="1"/>
  <c r="T52" i="1"/>
  <c r="U52" i="1"/>
  <c r="Q53" i="1"/>
  <c r="R53" i="1"/>
  <c r="S53" i="1"/>
  <c r="T53" i="1"/>
  <c r="U53" i="1"/>
  <c r="Q54" i="1"/>
  <c r="O54" i="1" s="1"/>
  <c r="R54" i="1"/>
  <c r="S54" i="1"/>
  <c r="T54" i="1"/>
  <c r="U54" i="1"/>
  <c r="U2" i="1"/>
  <c r="T2" i="1"/>
  <c r="S2" i="1"/>
  <c r="R2" i="1"/>
  <c r="Q2" i="1"/>
  <c r="O2" i="1" s="1"/>
</calcChain>
</file>

<file path=xl/sharedStrings.xml><?xml version="1.0" encoding="utf-8"?>
<sst xmlns="http://schemas.openxmlformats.org/spreadsheetml/2006/main" count="651" uniqueCount="304">
  <si>
    <t>Subject Code</t>
  </si>
  <si>
    <t>Description</t>
  </si>
  <si>
    <t>Exam Period</t>
  </si>
  <si>
    <t>Learning Outcome</t>
  </si>
  <si>
    <t>Topic</t>
  </si>
  <si>
    <t>QUESTION</t>
  </si>
  <si>
    <t>Type of Question</t>
  </si>
  <si>
    <t>Taxonomy</t>
  </si>
  <si>
    <t>Choice A</t>
  </si>
  <si>
    <t>Choice B</t>
  </si>
  <si>
    <t>Choice C</t>
  </si>
  <si>
    <t>Choice D</t>
  </si>
  <si>
    <t>Answer</t>
  </si>
  <si>
    <t>Correct answer in Words</t>
  </si>
  <si>
    <t>Midterm</t>
  </si>
  <si>
    <t>analyze factors influencing the selection of collection strategies</t>
  </si>
  <si>
    <t>Week 09 - FM104 - Week 9- Collection Strategies and Techniques</t>
  </si>
  <si>
    <t>Under Philippine law, which legislation prohibits creating fake social media profiles to contact delinquent borrowers?</t>
  </si>
  <si>
    <t>Multiple Choice</t>
  </si>
  <si>
    <t>Remembering</t>
  </si>
  <si>
    <t>BSP Circular 702</t>
  </si>
  <si>
    <t>RA 10173 (Data Privacy Act)</t>
  </si>
  <si>
    <t>Bayanihan Act</t>
  </si>
  <si>
    <t>BSP Circular 1039</t>
  </si>
  <si>
    <t>B</t>
  </si>
  <si>
    <t>What is the primary purpose of risk-based segmentation in Philippine bank collections?</t>
  </si>
  <si>
    <t>Understanding</t>
  </si>
  <si>
    <t>To comply with BSP regulations</t>
  </si>
  <si>
    <t>To maximize recovery with efficient resource use</t>
  </si>
  <si>
    <t>To identify borrowers for legal action</t>
  </si>
  <si>
    <t>To standardize all communication channels</t>
  </si>
  <si>
    <t>apply appropriate collection techniques based on delinquency severity and account characteristics</t>
  </si>
  <si>
    <t>A borrower with a small credit card balance is 45 days past due. Considering both stage and account value, which collection channel is most appropriate?</t>
  </si>
  <si>
    <t>Applying</t>
  </si>
  <si>
    <t>SMS reminders</t>
  </si>
  <si>
    <t>Automated email only</t>
  </si>
  <si>
    <t>In-person field visit</t>
  </si>
  <si>
    <t>Phone calls for negotiation</t>
  </si>
  <si>
    <t>D</t>
  </si>
  <si>
    <t>Which factor would most influence a bank's decision NOT to outsource a 120-day past due large corporate loan?</t>
  </si>
  <si>
    <t>Analyzing</t>
  </si>
  <si>
    <t>BSP Circular 702 restrictions</t>
  </si>
  <si>
    <t>Availability of skip tracing</t>
  </si>
  <si>
    <t>The loan's high account value</t>
  </si>
  <si>
    <t>Low cost of automated systems</t>
  </si>
  <si>
    <t>C</t>
  </si>
  <si>
    <t>evaluate the balance between recovery maximization and customer retention</t>
  </si>
  <si>
    <t>Why might a bank prefer a 50% lump-sum settlement over legal action for a severely delinquent account?</t>
  </si>
  <si>
    <t>Evaluating</t>
  </si>
  <si>
    <t>It guarantees full recovery of principal</t>
  </si>
  <si>
    <t>It avoids cost and uncertainty of litigation</t>
  </si>
  <si>
    <t>It immediately restores the borrower's credit score</t>
  </si>
  <si>
    <t>It is required by BSP Circular 1039</t>
  </si>
  <si>
    <t>Which statement best reflects the regulatory philosophy of BSP Circular 1039 regarding delinquency management?</t>
  </si>
  <si>
    <t>Punitive measures deter default</t>
  </si>
  <si>
    <t>Cooperative resolution benefits both parties</t>
  </si>
  <si>
    <t>Immediate legal action is mandatory</t>
  </si>
  <si>
    <t>Third-party agencies are prohibited</t>
  </si>
  <si>
    <t>A borrower affected by a typhoon is 60 days past due on a housing loan. Which program would a Philippine bank most likely offer?</t>
  </si>
  <si>
    <t>Immediate legal action</t>
  </si>
  <si>
    <t>A lump-sum settlement offer</t>
  </si>
  <si>
    <t>Outsourcing to a collection agency</t>
  </si>
  <si>
    <t>A hardship program with extended terms</t>
  </si>
  <si>
    <t>How does a penalty waiver affect a delinquent borrower's repayment plan?</t>
  </si>
  <si>
    <t>Reduces total amount due</t>
  </si>
  <si>
    <t>Increases principal owed</t>
  </si>
  <si>
    <t>Extends the loan term automatically</t>
  </si>
  <si>
    <t>Lowers the interest rate</t>
  </si>
  <si>
    <t>A</t>
  </si>
  <si>
    <t>A bank wants to retain a valuable customer who missed two payments due to temporary unemployment. Which strategy best balances recovery and retention?</t>
  </si>
  <si>
    <t>Immediate referral to legal</t>
  </si>
  <si>
    <t>Report to credit bureau immediately</t>
  </si>
  <si>
    <t>Sell account to collection agency</t>
  </si>
  <si>
    <t>Offer a temporary payment holiday</t>
  </si>
  <si>
    <t>identify the key legal remedies available to creditors in debt recovery</t>
  </si>
  <si>
    <t>Week 10 - FM104 - Week 10- Legal Aspects of Installment Credit and Collection</t>
  </si>
  <si>
    <t>Which law governs the repossession of personal property when a borrower defaults on a chattel mortgage?</t>
  </si>
  <si>
    <t>Act No. 3135 (Foreclosure Law)</t>
  </si>
  <si>
    <t>Republic Act No. 11066 (Small Claims)</t>
  </si>
  <si>
    <t>Act No. 1508 (Chattel Mortgage Law)</t>
  </si>
  <si>
    <t>Republic Act No. 3765 (Truth in Lending)</t>
  </si>
  <si>
    <t>After an extrajudicial foreclosure auction, what is the redemption period during which the borrower can reclaim the real property by paying the full debt plus costs?</t>
  </si>
  <si>
    <t>Six months</t>
  </si>
  <si>
    <t>Thirty days</t>
  </si>
  <si>
    <t>Two years</t>
  </si>
  <si>
    <t>One year</t>
  </si>
  <si>
    <t>Under RA 11066, what is the maximum debt amount that qualifies for the small claims procedure?</t>
  </si>
  <si>
    <t>₱500,000</t>
  </si>
  <si>
    <t>₱1,000,000</t>
  </si>
  <si>
    <t>₱2,000,000</t>
  </si>
  <si>
    <t>₱5,000,000</t>
  </si>
  <si>
    <t>evaluate the impact of consumer protection laws on collection operations</t>
  </si>
  <si>
    <t>A collection agency repeatedly calls a debtor at 11:30 PM to demand payment. Which BSP regulation does this practice violate?</t>
  </si>
  <si>
    <t>Circular 1039 on Consumer Lending</t>
  </si>
  <si>
    <t>Circular 702 on Fair Debt Collection</t>
  </si>
  <si>
    <t>Circular 857 on Enhanced Disclosure</t>
  </si>
  <si>
    <t>Circular 992 on Risk Management</t>
  </si>
  <si>
    <t>explain the regulatory framework governing consumer credit and collection practices</t>
  </si>
  <si>
    <t>What is the main purpose of the disclosures mandated by the Truth in Lending Act (RA 3765)?</t>
  </si>
  <si>
    <t>To help borrowers make informed credit decisions</t>
  </si>
  <si>
    <t>To limit interest rates on loans</t>
  </si>
  <si>
    <t>To protect borrower data privacy</t>
  </si>
  <si>
    <t>To establish a credit information system</t>
  </si>
  <si>
    <t>Under the Credit Information System Act, how many free credit reports may a borrower obtain from the Credit Information Corporation each year?</t>
  </si>
  <si>
    <t>Unlimited</t>
  </si>
  <si>
    <t>Two</t>
  </si>
  <si>
    <t>Three</t>
  </si>
  <si>
    <t>One</t>
  </si>
  <si>
    <t>What minimum grace period does BSP Circular 1039 require for credit card payments?</t>
  </si>
  <si>
    <t>15 days</t>
  </si>
  <si>
    <t>30 days</t>
  </si>
  <si>
    <t>21 days</t>
  </si>
  <si>
    <t>45 days</t>
  </si>
  <si>
    <t>A bank employee sells a borrower's personal data to a marketing firm without the borrower's consent. Which law is primarily violated?</t>
  </si>
  <si>
    <t>Truth in Lending Act (RA 3765)</t>
  </si>
  <si>
    <t>Data Privacy Act (RA 10173)</t>
  </si>
  <si>
    <t>Credit Information System Act (RA 9510)</t>
  </si>
  <si>
    <t>Consumer Act of the Philippines (RA 7394)</t>
  </si>
  <si>
    <t>Why does the Philippine Labor Code limit the amount that can be garnished from a debtor's salary for consumer debts?</t>
  </si>
  <si>
    <t>To discourage consumer lending</t>
  </si>
  <si>
    <t>To ensure debtors retain a minimum subsistence income</t>
  </si>
  <si>
    <t>To expedite the debt collection process</t>
  </si>
  <si>
    <t>To comply with BSP disclosure regulations</t>
  </si>
  <si>
    <t>analyze staffing, workflow, and performance metrics in collection operations</t>
  </si>
  <si>
    <t>Week 11 - FM104 - Week 11- Organizing and Managing an Installment Loan Department</t>
  </si>
  <si>
    <t>Which metric is typically NOT used to evaluate the Credit Evaluation Unit's performance in a Philippine bank?</t>
  </si>
  <si>
    <t>Approval rate of loan applications</t>
  </si>
  <si>
    <t>Turnaround time for credit decisions</t>
  </si>
  <si>
    <t>Volume of received loan applications</t>
  </si>
  <si>
    <t>NPL ratio of newly approved loans</t>
  </si>
  <si>
    <t>evaluate the role of policies and procedures in ensuring consistent department performance</t>
  </si>
  <si>
    <t>What is the primary purpose of a comprehensive collection policy manual in a bank?</t>
  </si>
  <si>
    <t>Ensure consistent collection practices</t>
  </si>
  <si>
    <t>Eliminate all future credit losses</t>
  </si>
  <si>
    <t>Replace board oversight of collections</t>
  </si>
  <si>
    <t>Accelerate loan origination speed</t>
  </si>
  <si>
    <t>A lender has 200 delinquent accounts in January. By March, 50 of these accounts are brought current. What is the cure rate?</t>
  </si>
  <si>
    <t>80%</t>
  </si>
  <si>
    <t>50%</t>
  </si>
  <si>
    <t>75%</t>
  </si>
  <si>
    <t>25%</t>
  </si>
  <si>
    <t>If 80 loans move from current to 30 days past due out of a pool of 400 current loans, what is the roll rate?</t>
  </si>
  <si>
    <t>10%</t>
  </si>
  <si>
    <t>40%</t>
  </si>
  <si>
    <t>20%</t>
  </si>
  <si>
    <t>A bank's NPL ratio rises from 3% to 5% over two quarters, while its approval rate remains unchanged. What should management primarily investigate?</t>
  </si>
  <si>
    <t>Efficiency of collection agents</t>
  </si>
  <si>
    <t>Credit standards for recent approvals</t>
  </si>
  <si>
    <t>Customer satisfaction levels</t>
  </si>
  <si>
    <t>Speed of loan disbursement</t>
  </si>
  <si>
    <t>A bank's collection policy allows settlement discounts up to 30% without requiring dual approval. How should this internal control practice be best evaluated?</t>
  </si>
  <si>
    <t>It complies with BSP Circular 702</t>
  </si>
  <si>
    <t>It speeds up collection resolution</t>
  </si>
  <si>
    <t>It aligns with industry best practices</t>
  </si>
  <si>
    <t>It increases fraud or abuse potential</t>
  </si>
  <si>
    <t>Why is segregation of duties between loan approval and disbursement a critical workflow control?</t>
  </si>
  <si>
    <t>To accelerate loan processing times</t>
  </si>
  <si>
    <t>To minimize documentation errors</t>
  </si>
  <si>
    <t>To prevent unauthorized fund release</t>
  </si>
  <si>
    <t>To enhance borrower satisfaction</t>
  </si>
  <si>
    <t>explain the principles of managing a credit and collection department</t>
  </si>
  <si>
    <t>In a Philippine bank, the Legal Unit of the credit department is primarily responsible for:</t>
  </si>
  <si>
    <t>Managing litigation and repossession</t>
  </si>
  <si>
    <t>Approving high-value loan applications</t>
  </si>
  <si>
    <t>Processing loan applications and documents</t>
  </si>
  <si>
    <t>Monitoring daily collection activities</t>
  </si>
  <si>
    <t>If a bank's early-stage delinquency cure rate is only 30%, what does this imply about the portfolio?</t>
  </si>
  <si>
    <t>Collection efforts are highly effective</t>
  </si>
  <si>
    <t>Borrowers are financially resilient</t>
  </si>
  <si>
    <t>Recovery rates will be very high</t>
  </si>
  <si>
    <t>Most early delinquencies may escalate</t>
  </si>
  <si>
    <t>Segregation of duties, splitting responsibilities</t>
  </si>
  <si>
    <t>Audit trail, recording all system activities</t>
  </si>
  <si>
    <t>Compliance monitoring, ensuring regulatory adherence</t>
  </si>
  <si>
    <t>Dual approval, requiring two signatures</t>
  </si>
  <si>
    <t>In designing a workflow to prevent unauthorized fund disbursement, a bank ensures that the staff who approve loans are different from those who release the funds. Which internal control principle does this design exemplify?</t>
  </si>
  <si>
    <t>Extended escalation timelines in collection policy</t>
  </si>
  <si>
    <t>Low minimum credit score requirement for approvals</t>
  </si>
  <si>
    <t>Overly generous settlement authority for collectors</t>
  </si>
  <si>
    <t>Inadequate concentration limits in the credit policy</t>
  </si>
  <si>
    <t>A bank's average days delinquent metric rose from 25 to 40 days, yet the overall NPL ratio stayed constant. Which element of the collection policy is most likely contributing to this extended delinquency period?</t>
  </si>
  <si>
    <t>50 accounts, the expected outcome</t>
  </si>
  <si>
    <t>75 accounts, a worst-case projection</t>
  </si>
  <si>
    <t>40 accounts, assuming low migration</t>
  </si>
  <si>
    <t>25 accounts, a best-case scenario</t>
  </si>
  <si>
    <t>A collections team leader expects that 200 accounts will end the month in the 31-60 day delinquency stage. Using a historical roll rate of 25% to the 61-90 day stage, how many accounts should be forecasted to advance next month?</t>
  </si>
  <si>
    <t>Fewer delinquent accounts are being brought current</t>
  </si>
  <si>
    <t>The bank's NPL ratio improved significantly</t>
  </si>
  <si>
    <t>New credit policies have been approved recently</t>
  </si>
  <si>
    <t>The origination unit is processing fewer applications</t>
  </si>
  <si>
    <t>A lender observes that its cure rate for early-stage delinquent accounts has fallen from 60% to 30% over the past year. What does this decline most directly indicate about the collection unit’s performance?</t>
  </si>
  <si>
    <t>Loan Servicing Unit, managing disbursement processes</t>
  </si>
  <si>
    <t>Legal Unit, handling contracts and collateral registration</t>
  </si>
  <si>
    <t>Credit Evaluation Unit, assessing borrower's risk</t>
  </si>
  <si>
    <t>Credit Origination Unit, where applications are received</t>
  </si>
  <si>
    <t>Before funds are released on an approved loan, all collateral documents must be verified and registered. In a typical Philippine bank structure, which unit has the primary duty to perform these checks and complete the disbursement?</t>
  </si>
  <si>
    <t>Borrowers increasingly miss payments before becoming NPL</t>
  </si>
  <si>
    <t>The bank is booking new loans at higher rates</t>
  </si>
  <si>
    <t>Underwriting standards have recently been strengthened</t>
  </si>
  <si>
    <t>The legal unit effectively recovers charged-off loans</t>
  </si>
  <si>
    <t>A bank’s overall NPL ratio has remained stable at 2%, but its collection efficiency rate for current accounts dropped from 96% to 82% in one quarter. What does this discrepancy most likely reveal about the portfolio?</t>
  </si>
  <si>
    <t>20 percent</t>
  </si>
  <si>
    <t>33 percent</t>
  </si>
  <si>
    <t>25 percent</t>
  </si>
  <si>
    <t>10 percent</t>
  </si>
  <si>
    <t>At the end of February, a bank identifies 250 consumer loans that are 1-30 days past due. If 50 of these loans subsequently advance to the 31-60 day delinquency bucket in March, what is the monthly roll rate?</t>
  </si>
  <si>
    <t>To provide an independent second review</t>
  </si>
  <si>
    <t>To comply with international accounting standards</t>
  </si>
  <si>
    <t>To satisfy external auditor requirements</t>
  </si>
  <si>
    <t>To reduce the time spent on loan decisions</t>
  </si>
  <si>
    <t>Philippine banks require that high-value loans, typically above a threshold of a few million pesos, must be approved by two authorized signatories. What is the primary purpose of this dual approval mechanism?</t>
  </si>
  <si>
    <t>An extrajudicial foreclosure clause in the mortgage</t>
  </si>
  <si>
    <t>A BSP Circular 702 compliance certificate</t>
  </si>
  <si>
    <t>A small claims arbitration agreement</t>
  </si>
  <si>
    <t>A waiver clause allowing non-judicial seizure</t>
  </si>
  <si>
    <t>A financing company holds a chattel mortgage over a borrower's motorcycle. The borrower defaults, and the company wants to seize the vehicle immediately without going to court. What specific contractual provision makes this possible?</t>
  </si>
  <si>
    <t>Judicial foreclosure involves a court case, extrajudicial does not</t>
  </si>
  <si>
    <t>Extrajudicial foreclosure permits a one-year redemption, judicial does not</t>
  </si>
  <si>
    <t>Only extrajudicial foreclosure requires a public auction</t>
  </si>
  <si>
    <t>Judicial foreclosure takes 6-12 months, extrajudicial 2-5 years</t>
  </si>
  <si>
    <t>Which statement correctly contrasts judicial foreclosure with extrajudicial foreclosure under Philippine law for real estate mortgages?</t>
  </si>
  <si>
    <t>Whether the expected recovery justifies the costs</t>
  </si>
  <si>
    <t>Whether the bank's quarterly collection target is met</t>
  </si>
  <si>
    <t>Whether the debt is still within the statute of limitations</t>
  </si>
  <si>
    <t>Whether the borrower has other credit cards</t>
  </si>
  <si>
    <t>A bank's legal team is evaluating whether to sue a borrower for an unsecured ₱150,000 debt. Legal costs are estimated at ₱80,000 and the trial may last three years. What is the primary decision criterion?</t>
  </si>
  <si>
    <t>Small claims has no lawyers and caps at ₱1M</t>
  </si>
  <si>
    <t>Both allow lawyers but small claims is faster</t>
  </si>
  <si>
    <t>Regular actions cap at ₱1M and require lawyers</t>
  </si>
  <si>
    <t>Small claims requires lawyers and caps at ₱1M</t>
  </si>
  <si>
    <t>How does the small claims procedure under RA 11066 fundamentally differ from a regular civil action for sum of money in terms of legal representation and monetary limits?</t>
  </si>
  <si>
    <t>BSP Circular 702 on fair collection practices</t>
  </si>
  <si>
    <t>BSP Circular 1039 on consumer lending</t>
  </si>
  <si>
    <t>BSP Circular 992 on credit risk management</t>
  </si>
  <si>
    <t>BSP Circular 857 on enhanced disclosure</t>
  </si>
  <si>
    <t>A collection agency hired by a bank repeatedly calls a borrower's workplace at 5:30 AM, discloses the debt to the receptionist, and posts the borrower's name on social media. Which BSP regulation has been violated?</t>
  </si>
  <si>
    <t>To ensure data is used only for lawful purposes</t>
  </si>
  <si>
    <t>To allow borrowers to negotiate lower interest</t>
  </si>
  <si>
    <t>To avoid mandatory BSP capital surcharges</t>
  </si>
  <si>
    <t>To enable credit scoring by private bureaus</t>
  </si>
  <si>
    <t>Under the Data Privacy Act (RA 10173), lenders must obtain borrower consent before collecting personal information. What is the fundamental reason for this requirement?</t>
  </si>
  <si>
    <t>To enable the borrower to pay the debt and costs</t>
  </si>
  <si>
    <t>To provide time for court confirmation of sale</t>
  </si>
  <si>
    <t>To let the creditor find a higher bidder</t>
  </si>
  <si>
    <t>To allow correction of auction procedural errors</t>
  </si>
  <si>
    <t>In an extrajudicial foreclosure of real property under Act No. 3135, the borrower retains the right to recover the property even after the public auction. What is the primary purpose of this post-auction redemption period?</t>
  </si>
  <si>
    <t>Republic Act No. 9510, Credit Information System Act</t>
  </si>
  <si>
    <t>Republic Act No. 8556, Financing Company Act</t>
  </si>
  <si>
    <t>Republic Act No. 7394, Consumer Act of the Philippines</t>
  </si>
  <si>
    <t>Republic Act No. 9474, Lending Company Regulation Act</t>
  </si>
  <si>
    <t>Which Philippine statute established the sole public credit registry, mandated submission of both positive and negative credit data, and created the Credit Information Corporation?</t>
  </si>
  <si>
    <t>Garnishment by court order after judgment</t>
  </si>
  <si>
    <t>Small claims filing under RA 11066</t>
  </si>
  <si>
    <t>Repossession under a chattel mortgage</t>
  </si>
  <si>
    <t>Extrajudicial foreclosure of personal assets</t>
  </si>
  <si>
    <t>A creditor has obtained a final money judgment against a borrower but the borrower refuses to pay. The creditor wants to seize funds in the borrower's bank account held by a third party. Which court-sanctioned remedy specifically addresses this situation?</t>
  </si>
  <si>
    <t>Department of Trade and Industry (DTI)</t>
  </si>
  <si>
    <t>Bangko Sentral ng Pilipinas (BSP)</t>
  </si>
  <si>
    <t>Credit Information Corporation (CIC)</t>
  </si>
  <si>
    <t>Securities and Exchange Commission (SEC)</t>
  </si>
  <si>
    <t>Under the Philippine regulatory framework, which specific government agency is responsible for licensing and overseeing third-party debt collection agencies?</t>
  </si>
  <si>
    <t>Analyze factors influencing the selection of collection strategies</t>
  </si>
  <si>
    <t>High-risk, warranting dedicated collector and fast escalation</t>
  </si>
  <si>
    <t>No-risk, eligible for immediate restructuring</t>
  </si>
  <si>
    <t>Low-risk, requiring automated reminders</t>
  </si>
  <si>
    <t>Moderate-risk, needing personalized phone negotiation</t>
  </si>
  <si>
    <t>A bank reviews an account holder with a large corporate loan who has missed multiple payments and has other outstanding debts. To which risk segment would this borrower be assigned?</t>
  </si>
  <si>
    <t>Apply appropriate collection techniques based on delinquency severity and account characteristics</t>
  </si>
  <si>
    <t>90 days</t>
  </si>
  <si>
    <t>120 days</t>
  </si>
  <si>
    <t>60 days</t>
  </si>
  <si>
    <t>At what minimum number of days past due do Philippine banks typically transfer a delinquent account to a third-party collection agency?</t>
  </si>
  <si>
    <t>Term extension to spread payments over a longer period</t>
  </si>
  <si>
    <t>Principal capitalization to create a new schedule</t>
  </si>
  <si>
    <t>Interest rate reduction to lower cost</t>
  </si>
  <si>
    <t>Penalty waiver to remove late fees</t>
  </si>
  <si>
    <t>A borrower 60 days past due on a credit card can only afford lower monthly payments. Which restructuring option directly achieves this by extending the repayment timeline?</t>
  </si>
  <si>
    <t>Collection of personal information requires a legitimate purpose and lawful means</t>
  </si>
  <si>
    <t>The SEC prohibits all use of social media for collections</t>
  </si>
  <si>
    <t>Banks avoid social media due to negative public perception</t>
  </si>
  <si>
    <t>Publicly accessible data is not considered personal information</t>
  </si>
  <si>
    <t>Why must skip tracing via social media, even when reviewing only publicly accessible content, comply strictly with the Data Privacy Act of 2012?</t>
  </si>
  <si>
    <t>In-person visits by senior collection officers</t>
  </si>
  <si>
    <t>Social media private messaging</t>
  </si>
  <si>
    <t>Automated SMS and email campaigns</t>
  </si>
  <si>
    <t>Phone calls from a standard call center</t>
  </si>
  <si>
    <t>For a high-value corporate loan that has reached a late stage of delinquency, which communication channel do Philippine banks most likely deploy to maximize recovery?</t>
  </si>
  <si>
    <t>Negotiating flexible, sustainable plans responsive to borrower hardship</t>
  </si>
  <si>
    <t>Outsourcing all delinquent accounts to aggressive agencies</t>
  </si>
  <si>
    <t>Initiating legal proceedings as soon as possible</t>
  </si>
  <si>
    <t>Demanding full payment immediately to maximize recovery</t>
  </si>
  <si>
    <t>Which collection strategy best represents the 'win-win' approach advocated for balancing recovery with long-term customer relationships in the Philippine context?</t>
  </si>
  <si>
    <t>Evaluate the balance between recovery maximization and customer retention</t>
  </si>
  <si>
    <t>It reduces net recovery because the agency takes a percentage</t>
  </si>
  <si>
    <t>It fluctuates based on the bank's compliance with BSP Circular 702</t>
  </si>
  <si>
    <t>It maintains the same net recovery regardless of method</t>
  </si>
  <si>
    <t>It increases net recovery by incentivizing aggressive tactics</t>
  </si>
  <si>
    <t>How does the contingency fee structure of third-party collection agencies impact the net amount recovered by a Philippine bank compared to in-house collection?</t>
  </si>
  <si>
    <t>To focus internal efforts on higher-recovery early-stage accounts</t>
  </si>
  <si>
    <t>To leverage agencies' more lenient collection methods</t>
  </si>
  <si>
    <t>To eliminate the risk of data privacy violations</t>
  </si>
  <si>
    <t>To comply with mandatory BSP outsourcing requirements</t>
  </si>
  <si>
    <t>Why do Philippine banks typically outsource accounts that are 90 or more days past due to third-party agencies, rather than continuing internal collection efforts?</t>
  </si>
  <si>
    <t>Timer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</si>
</sst>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4"/>
  <sheetViews>
    <sheetView tabSelected="1" topLeftCell="A17" zoomScale="85" zoomScaleNormal="85" workbookViewId="0">
      <selection activeCell="P34" sqref="P34"/>
    </sheetView>
  </sheetViews>
  <sheetFormatPr defaultRowHeight="14.4" x14ac:dyDescent="0.3"/>
  <cols>
    <col min="6" max="6" width="50.109375" customWidth="1"/>
  </cols>
  <sheetData>
    <row r="1" spans="1:21" ht="43.2" x14ac:dyDescent="0.3">
      <c r="A1" t="s">
        <v>0</v>
      </c>
      <c r="B1" t="s">
        <v>1</v>
      </c>
      <c r="C1" t="s">
        <v>2</v>
      </c>
      <c r="D1" t="s">
        <v>3</v>
      </c>
      <c r="E1" t="s">
        <v>4</v>
      </c>
      <c r="F1" t="s">
        <v>5</v>
      </c>
      <c r="G1" t="s">
        <v>6</v>
      </c>
      <c r="H1" t="s">
        <v>7</v>
      </c>
      <c r="I1" t="s">
        <v>8</v>
      </c>
      <c r="J1" t="s">
        <v>9</v>
      </c>
      <c r="K1" t="s">
        <v>10</v>
      </c>
      <c r="L1" t="s">
        <v>11</v>
      </c>
      <c r="M1" t="s">
        <v>12</v>
      </c>
      <c r="N1" t="s">
        <v>13</v>
      </c>
      <c r="O1" s="1" t="s">
        <v>303</v>
      </c>
    </row>
    <row r="2" spans="1:21" x14ac:dyDescent="0.3">
      <c r="C2" t="s">
        <v>14</v>
      </c>
      <c r="D2" t="s">
        <v>15</v>
      </c>
      <c r="E2" t="s">
        <v>16</v>
      </c>
      <c r="F2" t="s">
        <v>17</v>
      </c>
      <c r="G2" t="s">
        <v>18</v>
      </c>
      <c r="H2" t="s">
        <v>19</v>
      </c>
      <c r="I2" t="s">
        <v>20</v>
      </c>
      <c r="J2" t="s">
        <v>21</v>
      </c>
      <c r="K2" t="s">
        <v>22</v>
      </c>
      <c r="L2" t="s">
        <v>23</v>
      </c>
      <c r="M2" t="s">
        <v>24</v>
      </c>
      <c r="N2" t="s">
        <v>21</v>
      </c>
      <c r="O2">
        <f>ROUND(SUM(Q2:U2)*1.3,0)</f>
        <v>36</v>
      </c>
      <c r="Q2">
        <f>LEN(TRIM(F2))-LEN(SUBSTITUTE(TRIM(F2)," ",""))+1</f>
        <v>15</v>
      </c>
      <c r="R2">
        <f>LEN(TRIM(I2))-LEN(SUBSTITUTE(TRIM(I2)," ",""))+1</f>
        <v>3</v>
      </c>
      <c r="S2">
        <f>LEN(TRIM(J2))-LEN(SUBSTITUTE(TRIM(J2)," ",""))+1</f>
        <v>5</v>
      </c>
      <c r="T2">
        <f>LEN(TRIM(K2))-LEN(SUBSTITUTE(TRIM(K2)," ",""))+1</f>
        <v>2</v>
      </c>
      <c r="U2">
        <f>LEN(TRIM(L2))-LEN(SUBSTITUTE(TRIM(L2)," ",""))+1</f>
        <v>3</v>
      </c>
    </row>
    <row r="3" spans="1:21" x14ac:dyDescent="0.3">
      <c r="C3" t="s">
        <v>14</v>
      </c>
      <c r="D3" t="s">
        <v>15</v>
      </c>
      <c r="E3" t="s">
        <v>16</v>
      </c>
      <c r="F3" t="s">
        <v>25</v>
      </c>
      <c r="G3" t="s">
        <v>18</v>
      </c>
      <c r="H3" t="s">
        <v>26</v>
      </c>
      <c r="I3" t="s">
        <v>27</v>
      </c>
      <c r="J3" t="s">
        <v>28</v>
      </c>
      <c r="K3" t="s">
        <v>29</v>
      </c>
      <c r="L3" t="s">
        <v>30</v>
      </c>
      <c r="M3" t="s">
        <v>24</v>
      </c>
      <c r="N3" t="s">
        <v>28</v>
      </c>
      <c r="O3">
        <f t="shared" ref="O3:O54" si="0">ROUND(SUM(Q3:U3)*1.3,0)</f>
        <v>46</v>
      </c>
      <c r="Q3">
        <f t="shared" ref="Q3:Q54" si="1">LEN(TRIM(F3))-LEN(SUBSTITUTE(TRIM(F3)," ",""))+1</f>
        <v>12</v>
      </c>
      <c r="R3">
        <f t="shared" ref="R3:R54" si="2">LEN(TRIM(I3))-LEN(SUBSTITUTE(TRIM(I3)," ",""))+1</f>
        <v>5</v>
      </c>
      <c r="S3">
        <f t="shared" ref="S3:S54" si="3">LEN(TRIM(J3))-LEN(SUBSTITUTE(TRIM(J3)," ",""))+1</f>
        <v>7</v>
      </c>
      <c r="T3">
        <f t="shared" ref="T3:T54" si="4">LEN(TRIM(K3))-LEN(SUBSTITUTE(TRIM(K3)," ",""))+1</f>
        <v>6</v>
      </c>
      <c r="U3">
        <f t="shared" ref="U3:U54" si="5">LEN(TRIM(L3))-LEN(SUBSTITUTE(TRIM(L3)," ",""))+1</f>
        <v>5</v>
      </c>
    </row>
    <row r="4" spans="1:21" x14ac:dyDescent="0.3">
      <c r="C4" t="s">
        <v>14</v>
      </c>
      <c r="D4" t="s">
        <v>31</v>
      </c>
      <c r="E4" t="s">
        <v>16</v>
      </c>
      <c r="F4" t="s">
        <v>32</v>
      </c>
      <c r="G4" t="s">
        <v>18</v>
      </c>
      <c r="H4" t="s">
        <v>33</v>
      </c>
      <c r="I4" t="s">
        <v>34</v>
      </c>
      <c r="J4" t="s">
        <v>35</v>
      </c>
      <c r="K4" t="s">
        <v>36</v>
      </c>
      <c r="L4" t="s">
        <v>37</v>
      </c>
      <c r="M4" t="s">
        <v>38</v>
      </c>
      <c r="N4" t="s">
        <v>37</v>
      </c>
      <c r="O4">
        <f t="shared" si="0"/>
        <v>48</v>
      </c>
      <c r="Q4">
        <f t="shared" si="1"/>
        <v>25</v>
      </c>
      <c r="R4">
        <f t="shared" si="2"/>
        <v>2</v>
      </c>
      <c r="S4">
        <f t="shared" si="3"/>
        <v>3</v>
      </c>
      <c r="T4">
        <f t="shared" si="4"/>
        <v>3</v>
      </c>
      <c r="U4">
        <f t="shared" si="5"/>
        <v>4</v>
      </c>
    </row>
    <row r="5" spans="1:21" x14ac:dyDescent="0.3">
      <c r="C5" t="s">
        <v>14</v>
      </c>
      <c r="D5" t="s">
        <v>15</v>
      </c>
      <c r="E5" t="s">
        <v>16</v>
      </c>
      <c r="F5" t="s">
        <v>39</v>
      </c>
      <c r="G5" t="s">
        <v>18</v>
      </c>
      <c r="H5" t="s">
        <v>40</v>
      </c>
      <c r="I5" t="s">
        <v>41</v>
      </c>
      <c r="J5" t="s">
        <v>42</v>
      </c>
      <c r="K5" t="s">
        <v>43</v>
      </c>
      <c r="L5" t="s">
        <v>44</v>
      </c>
      <c r="M5" t="s">
        <v>45</v>
      </c>
      <c r="N5" t="s">
        <v>43</v>
      </c>
      <c r="O5">
        <f t="shared" si="0"/>
        <v>47</v>
      </c>
      <c r="Q5">
        <f t="shared" si="1"/>
        <v>18</v>
      </c>
      <c r="R5">
        <f t="shared" si="2"/>
        <v>4</v>
      </c>
      <c r="S5">
        <f t="shared" si="3"/>
        <v>4</v>
      </c>
      <c r="T5">
        <f t="shared" si="4"/>
        <v>5</v>
      </c>
      <c r="U5">
        <f t="shared" si="5"/>
        <v>5</v>
      </c>
    </row>
    <row r="6" spans="1:21" x14ac:dyDescent="0.3">
      <c r="C6" t="s">
        <v>14</v>
      </c>
      <c r="D6" t="s">
        <v>46</v>
      </c>
      <c r="E6" t="s">
        <v>16</v>
      </c>
      <c r="F6" t="s">
        <v>47</v>
      </c>
      <c r="G6" t="s">
        <v>18</v>
      </c>
      <c r="H6" t="s">
        <v>48</v>
      </c>
      <c r="I6" t="s">
        <v>49</v>
      </c>
      <c r="J6" t="s">
        <v>50</v>
      </c>
      <c r="K6" t="s">
        <v>51</v>
      </c>
      <c r="L6" t="s">
        <v>52</v>
      </c>
      <c r="M6" t="s">
        <v>24</v>
      </c>
      <c r="N6" t="s">
        <v>50</v>
      </c>
      <c r="O6">
        <f t="shared" si="0"/>
        <v>57</v>
      </c>
      <c r="Q6">
        <f t="shared" si="1"/>
        <v>17</v>
      </c>
      <c r="R6">
        <f t="shared" si="2"/>
        <v>6</v>
      </c>
      <c r="S6">
        <f t="shared" si="3"/>
        <v>7</v>
      </c>
      <c r="T6">
        <f t="shared" si="4"/>
        <v>7</v>
      </c>
      <c r="U6">
        <f t="shared" si="5"/>
        <v>7</v>
      </c>
    </row>
    <row r="7" spans="1:21" x14ac:dyDescent="0.3">
      <c r="C7" t="s">
        <v>14</v>
      </c>
      <c r="D7" t="s">
        <v>46</v>
      </c>
      <c r="E7" t="s">
        <v>16</v>
      </c>
      <c r="F7" t="s">
        <v>53</v>
      </c>
      <c r="G7" t="s">
        <v>18</v>
      </c>
      <c r="H7" t="s">
        <v>26</v>
      </c>
      <c r="I7" t="s">
        <v>54</v>
      </c>
      <c r="J7" t="s">
        <v>55</v>
      </c>
      <c r="K7" t="s">
        <v>56</v>
      </c>
      <c r="L7" t="s">
        <v>57</v>
      </c>
      <c r="M7" t="s">
        <v>24</v>
      </c>
      <c r="N7" t="s">
        <v>55</v>
      </c>
      <c r="O7">
        <f t="shared" si="0"/>
        <v>42</v>
      </c>
      <c r="Q7">
        <f t="shared" si="1"/>
        <v>14</v>
      </c>
      <c r="R7">
        <f t="shared" si="2"/>
        <v>4</v>
      </c>
      <c r="S7">
        <f t="shared" si="3"/>
        <v>5</v>
      </c>
      <c r="T7">
        <f t="shared" si="4"/>
        <v>5</v>
      </c>
      <c r="U7">
        <f t="shared" si="5"/>
        <v>4</v>
      </c>
    </row>
    <row r="8" spans="1:21" x14ac:dyDescent="0.3">
      <c r="C8" t="s">
        <v>14</v>
      </c>
      <c r="D8" t="s">
        <v>31</v>
      </c>
      <c r="E8" t="s">
        <v>16</v>
      </c>
      <c r="F8" t="s">
        <v>58</v>
      </c>
      <c r="G8" t="s">
        <v>18</v>
      </c>
      <c r="H8" t="s">
        <v>33</v>
      </c>
      <c r="I8" t="s">
        <v>59</v>
      </c>
      <c r="J8" t="s">
        <v>60</v>
      </c>
      <c r="K8" t="s">
        <v>61</v>
      </c>
      <c r="L8" t="s">
        <v>62</v>
      </c>
      <c r="M8" t="s">
        <v>38</v>
      </c>
      <c r="N8" t="s">
        <v>62</v>
      </c>
      <c r="O8">
        <f t="shared" si="0"/>
        <v>55</v>
      </c>
      <c r="Q8">
        <f t="shared" si="1"/>
        <v>24</v>
      </c>
      <c r="R8">
        <f t="shared" si="2"/>
        <v>3</v>
      </c>
      <c r="S8">
        <f t="shared" si="3"/>
        <v>4</v>
      </c>
      <c r="T8">
        <f t="shared" si="4"/>
        <v>5</v>
      </c>
      <c r="U8">
        <f t="shared" si="5"/>
        <v>6</v>
      </c>
    </row>
    <row r="9" spans="1:21" x14ac:dyDescent="0.3">
      <c r="C9" t="s">
        <v>14</v>
      </c>
      <c r="D9" t="s">
        <v>15</v>
      </c>
      <c r="E9" t="s">
        <v>16</v>
      </c>
      <c r="F9" t="s">
        <v>63</v>
      </c>
      <c r="G9" t="s">
        <v>18</v>
      </c>
      <c r="H9" t="s">
        <v>40</v>
      </c>
      <c r="I9" t="s">
        <v>64</v>
      </c>
      <c r="J9" t="s">
        <v>65</v>
      </c>
      <c r="K9" t="s">
        <v>66</v>
      </c>
      <c r="L9" t="s">
        <v>67</v>
      </c>
      <c r="M9" t="s">
        <v>68</v>
      </c>
      <c r="N9" t="s">
        <v>64</v>
      </c>
      <c r="O9">
        <f t="shared" si="0"/>
        <v>35</v>
      </c>
      <c r="Q9">
        <f t="shared" si="1"/>
        <v>11</v>
      </c>
      <c r="R9">
        <f t="shared" si="2"/>
        <v>4</v>
      </c>
      <c r="S9">
        <f t="shared" si="3"/>
        <v>3</v>
      </c>
      <c r="T9">
        <f t="shared" si="4"/>
        <v>5</v>
      </c>
      <c r="U9">
        <f t="shared" si="5"/>
        <v>4</v>
      </c>
    </row>
    <row r="10" spans="1:21" x14ac:dyDescent="0.3">
      <c r="C10" t="s">
        <v>14</v>
      </c>
      <c r="D10" t="s">
        <v>46</v>
      </c>
      <c r="E10" t="s">
        <v>16</v>
      </c>
      <c r="F10" t="s">
        <v>69</v>
      </c>
      <c r="G10" t="s">
        <v>18</v>
      </c>
      <c r="H10" t="s">
        <v>48</v>
      </c>
      <c r="I10" t="s">
        <v>70</v>
      </c>
      <c r="J10" t="s">
        <v>71</v>
      </c>
      <c r="K10" t="s">
        <v>72</v>
      </c>
      <c r="L10" t="s">
        <v>73</v>
      </c>
      <c r="M10" t="s">
        <v>38</v>
      </c>
      <c r="N10" t="s">
        <v>73</v>
      </c>
      <c r="O10">
        <f t="shared" si="0"/>
        <v>55</v>
      </c>
      <c r="Q10">
        <f t="shared" si="1"/>
        <v>23</v>
      </c>
      <c r="R10">
        <f t="shared" si="2"/>
        <v>4</v>
      </c>
      <c r="S10">
        <f t="shared" si="3"/>
        <v>5</v>
      </c>
      <c r="T10">
        <f t="shared" si="4"/>
        <v>5</v>
      </c>
      <c r="U10">
        <f t="shared" si="5"/>
        <v>5</v>
      </c>
    </row>
    <row r="11" spans="1:21" x14ac:dyDescent="0.3">
      <c r="C11" t="s">
        <v>14</v>
      </c>
      <c r="D11" t="s">
        <v>261</v>
      </c>
      <c r="E11" t="s">
        <v>16</v>
      </c>
      <c r="F11" t="s">
        <v>302</v>
      </c>
      <c r="G11" t="s">
        <v>18</v>
      </c>
      <c r="H11" t="s">
        <v>26</v>
      </c>
      <c r="I11" t="s">
        <v>298</v>
      </c>
      <c r="J11" t="s">
        <v>301</v>
      </c>
      <c r="K11" t="s">
        <v>300</v>
      </c>
      <c r="L11" t="s">
        <v>299</v>
      </c>
      <c r="M11" t="s">
        <v>68</v>
      </c>
      <c r="N11" t="s">
        <v>298</v>
      </c>
      <c r="O11">
        <f t="shared" si="0"/>
        <v>70</v>
      </c>
      <c r="Q11">
        <f t="shared" si="1"/>
        <v>24</v>
      </c>
      <c r="R11">
        <f t="shared" si="2"/>
        <v>8</v>
      </c>
      <c r="S11">
        <f t="shared" si="3"/>
        <v>7</v>
      </c>
      <c r="T11">
        <f t="shared" si="4"/>
        <v>8</v>
      </c>
      <c r="U11">
        <f t="shared" si="5"/>
        <v>7</v>
      </c>
    </row>
    <row r="12" spans="1:21" x14ac:dyDescent="0.3">
      <c r="C12" t="s">
        <v>14</v>
      </c>
      <c r="D12" t="s">
        <v>292</v>
      </c>
      <c r="E12" t="s">
        <v>16</v>
      </c>
      <c r="F12" t="s">
        <v>297</v>
      </c>
      <c r="G12" t="s">
        <v>18</v>
      </c>
      <c r="H12" t="s">
        <v>40</v>
      </c>
      <c r="I12" t="s">
        <v>296</v>
      </c>
      <c r="J12" t="s">
        <v>295</v>
      </c>
      <c r="K12" t="s">
        <v>293</v>
      </c>
      <c r="L12" t="s">
        <v>294</v>
      </c>
      <c r="M12" t="s">
        <v>45</v>
      </c>
      <c r="N12" t="s">
        <v>293</v>
      </c>
      <c r="O12">
        <f t="shared" si="0"/>
        <v>79</v>
      </c>
      <c r="Q12">
        <f t="shared" si="1"/>
        <v>23</v>
      </c>
      <c r="R12">
        <f t="shared" si="2"/>
        <v>8</v>
      </c>
      <c r="S12">
        <f t="shared" si="3"/>
        <v>9</v>
      </c>
      <c r="T12">
        <f t="shared" si="4"/>
        <v>10</v>
      </c>
      <c r="U12">
        <f t="shared" si="5"/>
        <v>11</v>
      </c>
    </row>
    <row r="13" spans="1:21" x14ac:dyDescent="0.3">
      <c r="C13" t="s">
        <v>14</v>
      </c>
      <c r="D13" t="s">
        <v>292</v>
      </c>
      <c r="E13" t="s">
        <v>16</v>
      </c>
      <c r="F13" t="s">
        <v>291</v>
      </c>
      <c r="G13" t="s">
        <v>18</v>
      </c>
      <c r="H13" t="s">
        <v>48</v>
      </c>
      <c r="I13" t="s">
        <v>290</v>
      </c>
      <c r="J13" t="s">
        <v>289</v>
      </c>
      <c r="K13" t="s">
        <v>288</v>
      </c>
      <c r="L13" t="s">
        <v>287</v>
      </c>
      <c r="M13" t="s">
        <v>38</v>
      </c>
      <c r="N13" t="s">
        <v>287</v>
      </c>
      <c r="O13">
        <f t="shared" si="0"/>
        <v>64</v>
      </c>
      <c r="Q13">
        <f t="shared" si="1"/>
        <v>20</v>
      </c>
      <c r="R13">
        <f t="shared" si="2"/>
        <v>7</v>
      </c>
      <c r="S13">
        <f t="shared" si="3"/>
        <v>7</v>
      </c>
      <c r="T13">
        <f t="shared" si="4"/>
        <v>7</v>
      </c>
      <c r="U13">
        <f t="shared" si="5"/>
        <v>8</v>
      </c>
    </row>
    <row r="14" spans="1:21" x14ac:dyDescent="0.3">
      <c r="C14" t="s">
        <v>14</v>
      </c>
      <c r="D14" t="s">
        <v>267</v>
      </c>
      <c r="E14" t="s">
        <v>16</v>
      </c>
      <c r="F14" t="s">
        <v>286</v>
      </c>
      <c r="G14" t="s">
        <v>18</v>
      </c>
      <c r="H14" t="s">
        <v>40</v>
      </c>
      <c r="I14" t="s">
        <v>282</v>
      </c>
      <c r="J14" t="s">
        <v>285</v>
      </c>
      <c r="K14" t="s">
        <v>284</v>
      </c>
      <c r="L14" t="s">
        <v>283</v>
      </c>
      <c r="M14" t="s">
        <v>68</v>
      </c>
      <c r="N14" t="s">
        <v>282</v>
      </c>
      <c r="O14">
        <f t="shared" si="0"/>
        <v>61</v>
      </c>
      <c r="Q14">
        <f t="shared" si="1"/>
        <v>25</v>
      </c>
      <c r="R14">
        <f t="shared" si="2"/>
        <v>6</v>
      </c>
      <c r="S14">
        <f t="shared" si="3"/>
        <v>7</v>
      </c>
      <c r="T14">
        <f t="shared" si="4"/>
        <v>5</v>
      </c>
      <c r="U14">
        <f t="shared" si="5"/>
        <v>4</v>
      </c>
    </row>
    <row r="15" spans="1:21" x14ac:dyDescent="0.3">
      <c r="C15" t="s">
        <v>14</v>
      </c>
      <c r="D15" t="s">
        <v>261</v>
      </c>
      <c r="E15" t="s">
        <v>16</v>
      </c>
      <c r="F15" t="s">
        <v>281</v>
      </c>
      <c r="G15" t="s">
        <v>18</v>
      </c>
      <c r="H15" t="s">
        <v>26</v>
      </c>
      <c r="I15" t="s">
        <v>280</v>
      </c>
      <c r="J15" t="s">
        <v>277</v>
      </c>
      <c r="K15" t="s">
        <v>279</v>
      </c>
      <c r="L15" t="s">
        <v>278</v>
      </c>
      <c r="M15" t="s">
        <v>24</v>
      </c>
      <c r="N15" t="s">
        <v>277</v>
      </c>
      <c r="O15">
        <f t="shared" si="0"/>
        <v>79</v>
      </c>
      <c r="Q15">
        <f t="shared" si="1"/>
        <v>23</v>
      </c>
      <c r="R15">
        <f t="shared" si="2"/>
        <v>8</v>
      </c>
      <c r="S15">
        <f t="shared" si="3"/>
        <v>11</v>
      </c>
      <c r="T15">
        <f t="shared" si="4"/>
        <v>9</v>
      </c>
      <c r="U15">
        <f t="shared" si="5"/>
        <v>10</v>
      </c>
    </row>
    <row r="16" spans="1:21" x14ac:dyDescent="0.3">
      <c r="C16" t="s">
        <v>14</v>
      </c>
      <c r="D16" t="s">
        <v>267</v>
      </c>
      <c r="E16" t="s">
        <v>16</v>
      </c>
      <c r="F16" t="s">
        <v>276</v>
      </c>
      <c r="G16" t="s">
        <v>18</v>
      </c>
      <c r="H16" t="s">
        <v>33</v>
      </c>
      <c r="I16" t="s">
        <v>275</v>
      </c>
      <c r="J16" t="s">
        <v>274</v>
      </c>
      <c r="K16" t="s">
        <v>272</v>
      </c>
      <c r="L16" t="s">
        <v>273</v>
      </c>
      <c r="M16" t="s">
        <v>45</v>
      </c>
      <c r="N16" t="s">
        <v>272</v>
      </c>
      <c r="O16">
        <f t="shared" si="0"/>
        <v>72</v>
      </c>
      <c r="Q16">
        <f t="shared" si="1"/>
        <v>27</v>
      </c>
      <c r="R16">
        <f t="shared" si="2"/>
        <v>6</v>
      </c>
      <c r="S16">
        <f t="shared" si="3"/>
        <v>6</v>
      </c>
      <c r="T16">
        <f t="shared" si="4"/>
        <v>9</v>
      </c>
      <c r="U16">
        <f t="shared" si="5"/>
        <v>7</v>
      </c>
    </row>
    <row r="17" spans="3:21" x14ac:dyDescent="0.3">
      <c r="C17" t="s">
        <v>14</v>
      </c>
      <c r="D17" t="s">
        <v>267</v>
      </c>
      <c r="E17" t="s">
        <v>16</v>
      </c>
      <c r="F17" t="s">
        <v>271</v>
      </c>
      <c r="G17" t="s">
        <v>18</v>
      </c>
      <c r="H17" t="s">
        <v>19</v>
      </c>
      <c r="I17" t="s">
        <v>110</v>
      </c>
      <c r="J17" t="s">
        <v>270</v>
      </c>
      <c r="K17" t="s">
        <v>269</v>
      </c>
      <c r="L17" t="s">
        <v>268</v>
      </c>
      <c r="M17" t="s">
        <v>38</v>
      </c>
      <c r="N17" t="s">
        <v>268</v>
      </c>
      <c r="O17">
        <f t="shared" si="0"/>
        <v>38</v>
      </c>
      <c r="Q17">
        <f t="shared" si="1"/>
        <v>21</v>
      </c>
      <c r="R17">
        <f t="shared" si="2"/>
        <v>2</v>
      </c>
      <c r="S17">
        <f t="shared" si="3"/>
        <v>2</v>
      </c>
      <c r="T17">
        <f t="shared" si="4"/>
        <v>2</v>
      </c>
      <c r="U17">
        <f t="shared" si="5"/>
        <v>2</v>
      </c>
    </row>
    <row r="18" spans="3:21" x14ac:dyDescent="0.3">
      <c r="C18" t="s">
        <v>14</v>
      </c>
      <c r="D18" t="s">
        <v>267</v>
      </c>
      <c r="E18" t="s">
        <v>16</v>
      </c>
      <c r="F18" t="s">
        <v>266</v>
      </c>
      <c r="G18" t="s">
        <v>18</v>
      </c>
      <c r="H18" t="s">
        <v>33</v>
      </c>
      <c r="I18" t="s">
        <v>262</v>
      </c>
      <c r="J18" t="s">
        <v>265</v>
      </c>
      <c r="K18" t="s">
        <v>264</v>
      </c>
      <c r="L18" t="s">
        <v>263</v>
      </c>
      <c r="M18" t="s">
        <v>68</v>
      </c>
      <c r="N18" t="s">
        <v>262</v>
      </c>
      <c r="O18">
        <f t="shared" si="0"/>
        <v>66</v>
      </c>
      <c r="Q18">
        <f t="shared" si="1"/>
        <v>30</v>
      </c>
      <c r="R18">
        <f t="shared" si="2"/>
        <v>7</v>
      </c>
      <c r="S18">
        <f t="shared" si="3"/>
        <v>5</v>
      </c>
      <c r="T18">
        <f t="shared" si="4"/>
        <v>4</v>
      </c>
      <c r="U18">
        <f t="shared" si="5"/>
        <v>5</v>
      </c>
    </row>
    <row r="19" spans="3:21" x14ac:dyDescent="0.3">
      <c r="C19" t="s">
        <v>14</v>
      </c>
      <c r="D19" t="s">
        <v>261</v>
      </c>
      <c r="E19" t="s">
        <v>16</v>
      </c>
      <c r="F19" t="s">
        <v>260</v>
      </c>
      <c r="G19" t="s">
        <v>18</v>
      </c>
      <c r="H19" t="s">
        <v>19</v>
      </c>
      <c r="I19" t="s">
        <v>259</v>
      </c>
      <c r="J19" t="s">
        <v>256</v>
      </c>
      <c r="K19" t="s">
        <v>258</v>
      </c>
      <c r="L19" t="s">
        <v>257</v>
      </c>
      <c r="M19" t="s">
        <v>24</v>
      </c>
      <c r="N19" t="s">
        <v>256</v>
      </c>
      <c r="O19">
        <f t="shared" si="0"/>
        <v>51</v>
      </c>
      <c r="Q19">
        <f t="shared" si="1"/>
        <v>19</v>
      </c>
      <c r="R19">
        <f t="shared" si="2"/>
        <v>5</v>
      </c>
      <c r="S19">
        <f t="shared" si="3"/>
        <v>6</v>
      </c>
      <c r="T19">
        <f t="shared" si="4"/>
        <v>4</v>
      </c>
      <c r="U19">
        <f t="shared" si="5"/>
        <v>5</v>
      </c>
    </row>
    <row r="20" spans="3:21" x14ac:dyDescent="0.3">
      <c r="C20" t="s">
        <v>14</v>
      </c>
      <c r="D20" t="s">
        <v>74</v>
      </c>
      <c r="E20" t="s">
        <v>75</v>
      </c>
      <c r="F20" t="s">
        <v>76</v>
      </c>
      <c r="G20" t="s">
        <v>18</v>
      </c>
      <c r="H20" t="s">
        <v>19</v>
      </c>
      <c r="I20" t="s">
        <v>77</v>
      </c>
      <c r="J20" t="s">
        <v>78</v>
      </c>
      <c r="K20" t="s">
        <v>79</v>
      </c>
      <c r="L20" t="s">
        <v>80</v>
      </c>
      <c r="M20" t="s">
        <v>45</v>
      </c>
      <c r="N20" t="s">
        <v>79</v>
      </c>
      <c r="O20">
        <f t="shared" si="0"/>
        <v>52</v>
      </c>
      <c r="Q20">
        <f t="shared" si="1"/>
        <v>16</v>
      </c>
      <c r="R20">
        <f t="shared" si="2"/>
        <v>5</v>
      </c>
      <c r="S20">
        <f t="shared" si="3"/>
        <v>6</v>
      </c>
      <c r="T20">
        <f t="shared" si="4"/>
        <v>6</v>
      </c>
      <c r="U20">
        <f t="shared" si="5"/>
        <v>7</v>
      </c>
    </row>
    <row r="21" spans="3:21" x14ac:dyDescent="0.3">
      <c r="C21" t="s">
        <v>14</v>
      </c>
      <c r="D21" t="s">
        <v>74</v>
      </c>
      <c r="E21" t="s">
        <v>75</v>
      </c>
      <c r="F21" t="s">
        <v>81</v>
      </c>
      <c r="G21" t="s">
        <v>18</v>
      </c>
      <c r="H21" t="s">
        <v>19</v>
      </c>
      <c r="I21" t="s">
        <v>82</v>
      </c>
      <c r="J21" t="s">
        <v>83</v>
      </c>
      <c r="K21" t="s">
        <v>84</v>
      </c>
      <c r="L21" t="s">
        <v>85</v>
      </c>
      <c r="M21" t="s">
        <v>38</v>
      </c>
      <c r="N21" t="s">
        <v>85</v>
      </c>
      <c r="O21">
        <f t="shared" si="0"/>
        <v>44</v>
      </c>
      <c r="Q21">
        <f t="shared" si="1"/>
        <v>26</v>
      </c>
      <c r="R21">
        <f t="shared" si="2"/>
        <v>2</v>
      </c>
      <c r="S21">
        <f t="shared" si="3"/>
        <v>2</v>
      </c>
      <c r="T21">
        <f t="shared" si="4"/>
        <v>2</v>
      </c>
      <c r="U21">
        <f t="shared" si="5"/>
        <v>2</v>
      </c>
    </row>
    <row r="22" spans="3:21" x14ac:dyDescent="0.3">
      <c r="C22" t="s">
        <v>14</v>
      </c>
      <c r="D22" t="s">
        <v>74</v>
      </c>
      <c r="E22" t="s">
        <v>75</v>
      </c>
      <c r="F22" t="s">
        <v>86</v>
      </c>
      <c r="G22" t="s">
        <v>18</v>
      </c>
      <c r="H22" t="s">
        <v>19</v>
      </c>
      <c r="I22" t="s">
        <v>87</v>
      </c>
      <c r="J22" t="s">
        <v>88</v>
      </c>
      <c r="K22" t="s">
        <v>89</v>
      </c>
      <c r="L22" t="s">
        <v>90</v>
      </c>
      <c r="M22" t="s">
        <v>24</v>
      </c>
      <c r="N22" t="s">
        <v>88</v>
      </c>
      <c r="O22">
        <f t="shared" si="0"/>
        <v>26</v>
      </c>
      <c r="Q22">
        <f t="shared" si="1"/>
        <v>16</v>
      </c>
      <c r="R22">
        <f t="shared" si="2"/>
        <v>1</v>
      </c>
      <c r="S22">
        <f t="shared" si="3"/>
        <v>1</v>
      </c>
      <c r="T22">
        <f t="shared" si="4"/>
        <v>1</v>
      </c>
      <c r="U22">
        <f t="shared" si="5"/>
        <v>1</v>
      </c>
    </row>
    <row r="23" spans="3:21" x14ac:dyDescent="0.3">
      <c r="C23" t="s">
        <v>14</v>
      </c>
      <c r="D23" t="s">
        <v>91</v>
      </c>
      <c r="E23" t="s">
        <v>75</v>
      </c>
      <c r="F23" t="s">
        <v>92</v>
      </c>
      <c r="G23" t="s">
        <v>18</v>
      </c>
      <c r="H23" t="s">
        <v>33</v>
      </c>
      <c r="I23" t="s">
        <v>93</v>
      </c>
      <c r="J23" t="s">
        <v>94</v>
      </c>
      <c r="K23" t="s">
        <v>95</v>
      </c>
      <c r="L23" t="s">
        <v>96</v>
      </c>
      <c r="M23" t="s">
        <v>24</v>
      </c>
      <c r="N23" t="s">
        <v>94</v>
      </c>
      <c r="O23">
        <f t="shared" si="0"/>
        <v>53</v>
      </c>
      <c r="Q23">
        <f t="shared" si="1"/>
        <v>20</v>
      </c>
      <c r="R23">
        <f t="shared" si="2"/>
        <v>5</v>
      </c>
      <c r="S23">
        <f t="shared" si="3"/>
        <v>6</v>
      </c>
      <c r="T23">
        <f t="shared" si="4"/>
        <v>5</v>
      </c>
      <c r="U23">
        <f t="shared" si="5"/>
        <v>5</v>
      </c>
    </row>
    <row r="24" spans="3:21" x14ac:dyDescent="0.3">
      <c r="C24" t="s">
        <v>14</v>
      </c>
      <c r="D24" t="s">
        <v>97</v>
      </c>
      <c r="E24" t="s">
        <v>75</v>
      </c>
      <c r="F24" t="s">
        <v>98</v>
      </c>
      <c r="G24" t="s">
        <v>18</v>
      </c>
      <c r="H24" t="s">
        <v>26</v>
      </c>
      <c r="I24" t="s">
        <v>99</v>
      </c>
      <c r="J24" t="s">
        <v>100</v>
      </c>
      <c r="K24" t="s">
        <v>101</v>
      </c>
      <c r="L24" t="s">
        <v>102</v>
      </c>
      <c r="M24" t="s">
        <v>68</v>
      </c>
      <c r="N24" t="s">
        <v>99</v>
      </c>
      <c r="O24">
        <f t="shared" si="0"/>
        <v>53</v>
      </c>
      <c r="Q24">
        <f t="shared" si="1"/>
        <v>17</v>
      </c>
      <c r="R24">
        <f t="shared" si="2"/>
        <v>7</v>
      </c>
      <c r="S24">
        <f t="shared" si="3"/>
        <v>6</v>
      </c>
      <c r="T24">
        <f t="shared" si="4"/>
        <v>5</v>
      </c>
      <c r="U24">
        <f t="shared" si="5"/>
        <v>6</v>
      </c>
    </row>
    <row r="25" spans="3:21" x14ac:dyDescent="0.3">
      <c r="C25" t="s">
        <v>14</v>
      </c>
      <c r="D25" t="s">
        <v>97</v>
      </c>
      <c r="E25" t="s">
        <v>75</v>
      </c>
      <c r="F25" t="s">
        <v>103</v>
      </c>
      <c r="G25" t="s">
        <v>18</v>
      </c>
      <c r="H25" t="s">
        <v>19</v>
      </c>
      <c r="I25" t="s">
        <v>104</v>
      </c>
      <c r="J25" t="s">
        <v>105</v>
      </c>
      <c r="K25" t="s">
        <v>106</v>
      </c>
      <c r="L25" t="s">
        <v>107</v>
      </c>
      <c r="M25" t="s">
        <v>38</v>
      </c>
      <c r="N25" t="s">
        <v>107</v>
      </c>
      <c r="O25">
        <f t="shared" si="0"/>
        <v>34</v>
      </c>
      <c r="Q25">
        <f t="shared" si="1"/>
        <v>22</v>
      </c>
      <c r="R25">
        <f t="shared" si="2"/>
        <v>1</v>
      </c>
      <c r="S25">
        <f t="shared" si="3"/>
        <v>1</v>
      </c>
      <c r="T25">
        <f t="shared" si="4"/>
        <v>1</v>
      </c>
      <c r="U25">
        <f t="shared" si="5"/>
        <v>1</v>
      </c>
    </row>
    <row r="26" spans="3:21" x14ac:dyDescent="0.3">
      <c r="C26" t="s">
        <v>14</v>
      </c>
      <c r="D26" t="s">
        <v>97</v>
      </c>
      <c r="E26" t="s">
        <v>75</v>
      </c>
      <c r="F26" t="s">
        <v>108</v>
      </c>
      <c r="G26" t="s">
        <v>18</v>
      </c>
      <c r="H26" t="s">
        <v>19</v>
      </c>
      <c r="I26" t="s">
        <v>109</v>
      </c>
      <c r="J26" t="s">
        <v>110</v>
      </c>
      <c r="K26" t="s">
        <v>111</v>
      </c>
      <c r="L26" t="s">
        <v>112</v>
      </c>
      <c r="M26" t="s">
        <v>45</v>
      </c>
      <c r="N26" t="s">
        <v>111</v>
      </c>
      <c r="O26">
        <f t="shared" si="0"/>
        <v>27</v>
      </c>
      <c r="Q26">
        <f t="shared" si="1"/>
        <v>13</v>
      </c>
      <c r="R26">
        <f t="shared" si="2"/>
        <v>2</v>
      </c>
      <c r="S26">
        <f t="shared" si="3"/>
        <v>2</v>
      </c>
      <c r="T26">
        <f t="shared" si="4"/>
        <v>2</v>
      </c>
      <c r="U26">
        <f t="shared" si="5"/>
        <v>2</v>
      </c>
    </row>
    <row r="27" spans="3:21" x14ac:dyDescent="0.3">
      <c r="C27" t="s">
        <v>14</v>
      </c>
      <c r="D27" t="s">
        <v>91</v>
      </c>
      <c r="E27" t="s">
        <v>75</v>
      </c>
      <c r="F27" t="s">
        <v>113</v>
      </c>
      <c r="G27" t="s">
        <v>18</v>
      </c>
      <c r="H27" t="s">
        <v>33</v>
      </c>
      <c r="I27" t="s">
        <v>114</v>
      </c>
      <c r="J27" t="s">
        <v>115</v>
      </c>
      <c r="K27" t="s">
        <v>116</v>
      </c>
      <c r="L27" t="s">
        <v>117</v>
      </c>
      <c r="M27" t="s">
        <v>24</v>
      </c>
      <c r="N27" t="s">
        <v>115</v>
      </c>
      <c r="O27">
        <f t="shared" si="0"/>
        <v>59</v>
      </c>
      <c r="Q27">
        <f t="shared" si="1"/>
        <v>21</v>
      </c>
      <c r="R27">
        <f t="shared" si="2"/>
        <v>6</v>
      </c>
      <c r="S27">
        <f t="shared" si="3"/>
        <v>5</v>
      </c>
      <c r="T27">
        <f t="shared" si="4"/>
        <v>6</v>
      </c>
      <c r="U27">
        <f t="shared" si="5"/>
        <v>7</v>
      </c>
    </row>
    <row r="28" spans="3:21" x14ac:dyDescent="0.3">
      <c r="C28" t="s">
        <v>14</v>
      </c>
      <c r="D28" t="s">
        <v>97</v>
      </c>
      <c r="E28" t="s">
        <v>75</v>
      </c>
      <c r="F28" t="s">
        <v>118</v>
      </c>
      <c r="G28" t="s">
        <v>18</v>
      </c>
      <c r="H28" t="s">
        <v>26</v>
      </c>
      <c r="I28" t="s">
        <v>119</v>
      </c>
      <c r="J28" t="s">
        <v>120</v>
      </c>
      <c r="K28" t="s">
        <v>121</v>
      </c>
      <c r="L28" t="s">
        <v>122</v>
      </c>
      <c r="M28" t="s">
        <v>24</v>
      </c>
      <c r="N28" t="s">
        <v>120</v>
      </c>
      <c r="O28">
        <f t="shared" si="0"/>
        <v>57</v>
      </c>
      <c r="Q28">
        <f t="shared" si="1"/>
        <v>20</v>
      </c>
      <c r="R28">
        <f t="shared" si="2"/>
        <v>4</v>
      </c>
      <c r="S28">
        <f t="shared" si="3"/>
        <v>8</v>
      </c>
      <c r="T28">
        <f t="shared" si="4"/>
        <v>6</v>
      </c>
      <c r="U28">
        <f t="shared" si="5"/>
        <v>6</v>
      </c>
    </row>
    <row r="29" spans="3:21" x14ac:dyDescent="0.3">
      <c r="C29" t="s">
        <v>14</v>
      </c>
      <c r="D29" t="s">
        <v>74</v>
      </c>
      <c r="E29" t="s">
        <v>75</v>
      </c>
      <c r="F29" t="s">
        <v>255</v>
      </c>
      <c r="G29" t="s">
        <v>18</v>
      </c>
      <c r="H29" t="s">
        <v>19</v>
      </c>
      <c r="I29" t="s">
        <v>254</v>
      </c>
      <c r="J29" t="s">
        <v>251</v>
      </c>
      <c r="K29" t="s">
        <v>253</v>
      </c>
      <c r="L29" t="s">
        <v>252</v>
      </c>
      <c r="M29" t="s">
        <v>24</v>
      </c>
      <c r="N29" t="s">
        <v>251</v>
      </c>
      <c r="O29">
        <f t="shared" si="0"/>
        <v>81</v>
      </c>
      <c r="Q29">
        <f t="shared" si="1"/>
        <v>40</v>
      </c>
      <c r="R29">
        <f t="shared" si="2"/>
        <v>5</v>
      </c>
      <c r="S29">
        <f t="shared" si="3"/>
        <v>6</v>
      </c>
      <c r="T29">
        <f t="shared" si="4"/>
        <v>5</v>
      </c>
      <c r="U29">
        <f t="shared" si="5"/>
        <v>6</v>
      </c>
    </row>
    <row r="30" spans="3:21" x14ac:dyDescent="0.3">
      <c r="C30" t="s">
        <v>14</v>
      </c>
      <c r="D30" t="s">
        <v>97</v>
      </c>
      <c r="E30" t="s">
        <v>75</v>
      </c>
      <c r="F30" t="s">
        <v>250</v>
      </c>
      <c r="G30" t="s">
        <v>18</v>
      </c>
      <c r="H30" t="s">
        <v>19</v>
      </c>
      <c r="I30" t="s">
        <v>249</v>
      </c>
      <c r="J30" t="s">
        <v>248</v>
      </c>
      <c r="K30" t="s">
        <v>247</v>
      </c>
      <c r="L30" t="s">
        <v>246</v>
      </c>
      <c r="M30" t="s">
        <v>38</v>
      </c>
      <c r="N30" t="s">
        <v>246</v>
      </c>
      <c r="O30">
        <f t="shared" si="0"/>
        <v>73</v>
      </c>
      <c r="Q30">
        <f t="shared" si="1"/>
        <v>24</v>
      </c>
      <c r="R30">
        <f t="shared" si="2"/>
        <v>8</v>
      </c>
      <c r="S30">
        <f t="shared" si="3"/>
        <v>9</v>
      </c>
      <c r="T30">
        <f t="shared" si="4"/>
        <v>7</v>
      </c>
      <c r="U30">
        <f t="shared" si="5"/>
        <v>8</v>
      </c>
    </row>
    <row r="31" spans="3:21" x14ac:dyDescent="0.3">
      <c r="C31" t="s">
        <v>14</v>
      </c>
      <c r="D31" t="s">
        <v>97</v>
      </c>
      <c r="E31" t="s">
        <v>75</v>
      </c>
      <c r="F31" t="s">
        <v>245</v>
      </c>
      <c r="G31" t="s">
        <v>18</v>
      </c>
      <c r="H31" t="s">
        <v>26</v>
      </c>
      <c r="I31" t="s">
        <v>241</v>
      </c>
      <c r="J31" t="s">
        <v>244</v>
      </c>
      <c r="K31" t="s">
        <v>243</v>
      </c>
      <c r="L31" t="s">
        <v>242</v>
      </c>
      <c r="M31" t="s">
        <v>68</v>
      </c>
      <c r="N31" t="s">
        <v>241</v>
      </c>
      <c r="O31">
        <f t="shared" si="0"/>
        <v>88</v>
      </c>
      <c r="Q31">
        <f t="shared" si="1"/>
        <v>35</v>
      </c>
      <c r="R31">
        <f t="shared" si="2"/>
        <v>10</v>
      </c>
      <c r="S31">
        <f t="shared" si="3"/>
        <v>7</v>
      </c>
      <c r="T31">
        <f t="shared" si="4"/>
        <v>8</v>
      </c>
      <c r="U31">
        <f t="shared" si="5"/>
        <v>8</v>
      </c>
    </row>
    <row r="32" spans="3:21" x14ac:dyDescent="0.3">
      <c r="C32" t="s">
        <v>14</v>
      </c>
      <c r="D32" t="s">
        <v>91</v>
      </c>
      <c r="E32" t="s">
        <v>75</v>
      </c>
      <c r="F32" t="s">
        <v>240</v>
      </c>
      <c r="G32" t="s">
        <v>18</v>
      </c>
      <c r="H32" t="s">
        <v>26</v>
      </c>
      <c r="I32" t="s">
        <v>236</v>
      </c>
      <c r="J32" t="s">
        <v>239</v>
      </c>
      <c r="K32" t="s">
        <v>238</v>
      </c>
      <c r="L32" t="s">
        <v>237</v>
      </c>
      <c r="M32" t="s">
        <v>68</v>
      </c>
      <c r="N32" t="s">
        <v>236</v>
      </c>
      <c r="O32">
        <f t="shared" si="0"/>
        <v>69</v>
      </c>
      <c r="Q32">
        <f t="shared" si="1"/>
        <v>24</v>
      </c>
      <c r="R32">
        <f t="shared" si="2"/>
        <v>9</v>
      </c>
      <c r="S32">
        <f t="shared" si="3"/>
        <v>7</v>
      </c>
      <c r="T32">
        <f t="shared" si="4"/>
        <v>6</v>
      </c>
      <c r="U32">
        <f t="shared" si="5"/>
        <v>7</v>
      </c>
    </row>
    <row r="33" spans="3:21" x14ac:dyDescent="0.3">
      <c r="C33" t="s">
        <v>14</v>
      </c>
      <c r="D33" t="s">
        <v>91</v>
      </c>
      <c r="E33" t="s">
        <v>75</v>
      </c>
      <c r="F33" t="s">
        <v>235</v>
      </c>
      <c r="G33" t="s">
        <v>18</v>
      </c>
      <c r="H33" t="s">
        <v>33</v>
      </c>
      <c r="I33" t="s">
        <v>234</v>
      </c>
      <c r="J33" t="s">
        <v>231</v>
      </c>
      <c r="K33" t="s">
        <v>233</v>
      </c>
      <c r="L33" t="s">
        <v>232</v>
      </c>
      <c r="M33" t="s">
        <v>24</v>
      </c>
      <c r="N33" t="s">
        <v>231</v>
      </c>
      <c r="O33">
        <f t="shared" si="0"/>
        <v>79</v>
      </c>
      <c r="Q33">
        <f t="shared" si="1"/>
        <v>35</v>
      </c>
      <c r="R33">
        <f t="shared" si="2"/>
        <v>6</v>
      </c>
      <c r="S33">
        <f t="shared" si="3"/>
        <v>7</v>
      </c>
      <c r="T33">
        <f t="shared" si="4"/>
        <v>7</v>
      </c>
      <c r="U33">
        <f t="shared" si="5"/>
        <v>6</v>
      </c>
    </row>
    <row r="34" spans="3:21" x14ac:dyDescent="0.3">
      <c r="C34" t="s">
        <v>14</v>
      </c>
      <c r="D34" t="s">
        <v>97</v>
      </c>
      <c r="E34" t="s">
        <v>75</v>
      </c>
      <c r="F34" t="s">
        <v>230</v>
      </c>
      <c r="G34" t="s">
        <v>18</v>
      </c>
      <c r="H34" t="s">
        <v>40</v>
      </c>
      <c r="I34" t="s">
        <v>229</v>
      </c>
      <c r="J34" t="s">
        <v>226</v>
      </c>
      <c r="K34" t="s">
        <v>228</v>
      </c>
      <c r="L34" t="s">
        <v>227</v>
      </c>
      <c r="M34" t="s">
        <v>24</v>
      </c>
      <c r="N34" t="s">
        <v>226</v>
      </c>
      <c r="O34">
        <f t="shared" si="0"/>
        <v>79</v>
      </c>
      <c r="Q34">
        <f t="shared" si="1"/>
        <v>28</v>
      </c>
      <c r="R34">
        <f t="shared" si="2"/>
        <v>8</v>
      </c>
      <c r="S34">
        <f t="shared" si="3"/>
        <v>9</v>
      </c>
      <c r="T34">
        <f t="shared" si="4"/>
        <v>8</v>
      </c>
      <c r="U34">
        <f t="shared" si="5"/>
        <v>8</v>
      </c>
    </row>
    <row r="35" spans="3:21" x14ac:dyDescent="0.3">
      <c r="C35" t="s">
        <v>14</v>
      </c>
      <c r="D35" t="s">
        <v>74</v>
      </c>
      <c r="E35" t="s">
        <v>75</v>
      </c>
      <c r="F35" t="s">
        <v>225</v>
      </c>
      <c r="G35" t="s">
        <v>18</v>
      </c>
      <c r="H35" t="s">
        <v>48</v>
      </c>
      <c r="I35" t="s">
        <v>224</v>
      </c>
      <c r="J35" t="s">
        <v>223</v>
      </c>
      <c r="K35" t="s">
        <v>221</v>
      </c>
      <c r="L35" t="s">
        <v>222</v>
      </c>
      <c r="M35" t="s">
        <v>45</v>
      </c>
      <c r="N35" t="s">
        <v>221</v>
      </c>
      <c r="O35">
        <f t="shared" si="0"/>
        <v>87</v>
      </c>
      <c r="Q35">
        <f t="shared" si="1"/>
        <v>35</v>
      </c>
      <c r="R35">
        <f t="shared" si="2"/>
        <v>7</v>
      </c>
      <c r="S35">
        <f t="shared" si="3"/>
        <v>10</v>
      </c>
      <c r="T35">
        <f t="shared" si="4"/>
        <v>7</v>
      </c>
      <c r="U35">
        <f t="shared" si="5"/>
        <v>8</v>
      </c>
    </row>
    <row r="36" spans="3:21" x14ac:dyDescent="0.3">
      <c r="C36" t="s">
        <v>14</v>
      </c>
      <c r="D36" t="s">
        <v>74</v>
      </c>
      <c r="E36" t="s">
        <v>75</v>
      </c>
      <c r="F36" t="s">
        <v>220</v>
      </c>
      <c r="G36" t="s">
        <v>18</v>
      </c>
      <c r="H36" t="s">
        <v>40</v>
      </c>
      <c r="I36" t="s">
        <v>219</v>
      </c>
      <c r="J36" t="s">
        <v>216</v>
      </c>
      <c r="K36" t="s">
        <v>218</v>
      </c>
      <c r="L36" t="s">
        <v>217</v>
      </c>
      <c r="M36" t="s">
        <v>24</v>
      </c>
      <c r="N36" t="s">
        <v>216</v>
      </c>
      <c r="O36">
        <f t="shared" si="0"/>
        <v>64</v>
      </c>
      <c r="Q36">
        <f t="shared" si="1"/>
        <v>16</v>
      </c>
      <c r="R36">
        <f t="shared" si="2"/>
        <v>8</v>
      </c>
      <c r="S36">
        <f t="shared" si="3"/>
        <v>9</v>
      </c>
      <c r="T36">
        <f t="shared" si="4"/>
        <v>7</v>
      </c>
      <c r="U36">
        <f t="shared" si="5"/>
        <v>9</v>
      </c>
    </row>
    <row r="37" spans="3:21" x14ac:dyDescent="0.3">
      <c r="C37" t="s">
        <v>14</v>
      </c>
      <c r="D37" t="s">
        <v>74</v>
      </c>
      <c r="E37" t="s">
        <v>75</v>
      </c>
      <c r="F37" t="s">
        <v>215</v>
      </c>
      <c r="G37" t="s">
        <v>18</v>
      </c>
      <c r="H37" t="s">
        <v>33</v>
      </c>
      <c r="I37" t="s">
        <v>214</v>
      </c>
      <c r="J37" t="s">
        <v>211</v>
      </c>
      <c r="K37" t="s">
        <v>213</v>
      </c>
      <c r="L37" t="s">
        <v>212</v>
      </c>
      <c r="M37" t="s">
        <v>24</v>
      </c>
      <c r="N37" t="s">
        <v>211</v>
      </c>
      <c r="O37">
        <f t="shared" si="0"/>
        <v>75</v>
      </c>
      <c r="Q37">
        <f t="shared" si="1"/>
        <v>34</v>
      </c>
      <c r="R37">
        <f t="shared" si="2"/>
        <v>6</v>
      </c>
      <c r="S37">
        <f t="shared" si="3"/>
        <v>7</v>
      </c>
      <c r="T37">
        <f t="shared" si="4"/>
        <v>5</v>
      </c>
      <c r="U37">
        <f t="shared" si="5"/>
        <v>6</v>
      </c>
    </row>
    <row r="38" spans="3:21" x14ac:dyDescent="0.3">
      <c r="C38" t="s">
        <v>14</v>
      </c>
      <c r="D38" t="s">
        <v>123</v>
      </c>
      <c r="E38" t="s">
        <v>124</v>
      </c>
      <c r="F38" t="s">
        <v>125</v>
      </c>
      <c r="G38" t="s">
        <v>18</v>
      </c>
      <c r="H38" t="s">
        <v>19</v>
      </c>
      <c r="I38" t="s">
        <v>126</v>
      </c>
      <c r="J38" t="s">
        <v>127</v>
      </c>
      <c r="K38" t="s">
        <v>128</v>
      </c>
      <c r="L38" t="s">
        <v>129</v>
      </c>
      <c r="M38" t="s">
        <v>45</v>
      </c>
      <c r="N38" t="s">
        <v>128</v>
      </c>
      <c r="O38">
        <f t="shared" si="0"/>
        <v>49</v>
      </c>
      <c r="Q38">
        <f t="shared" si="1"/>
        <v>17</v>
      </c>
      <c r="R38">
        <f t="shared" si="2"/>
        <v>5</v>
      </c>
      <c r="S38">
        <f t="shared" si="3"/>
        <v>5</v>
      </c>
      <c r="T38">
        <f t="shared" si="4"/>
        <v>5</v>
      </c>
      <c r="U38">
        <f t="shared" si="5"/>
        <v>6</v>
      </c>
    </row>
    <row r="39" spans="3:21" x14ac:dyDescent="0.3">
      <c r="C39" t="s">
        <v>14</v>
      </c>
      <c r="D39" t="s">
        <v>130</v>
      </c>
      <c r="E39" t="s">
        <v>124</v>
      </c>
      <c r="F39" t="s">
        <v>131</v>
      </c>
      <c r="G39" t="s">
        <v>18</v>
      </c>
      <c r="H39" t="s">
        <v>26</v>
      </c>
      <c r="I39" t="s">
        <v>132</v>
      </c>
      <c r="J39" t="s">
        <v>133</v>
      </c>
      <c r="K39" t="s">
        <v>134</v>
      </c>
      <c r="L39" t="s">
        <v>135</v>
      </c>
      <c r="M39" t="s">
        <v>68</v>
      </c>
      <c r="N39" t="s">
        <v>132</v>
      </c>
      <c r="O39">
        <f t="shared" si="0"/>
        <v>42</v>
      </c>
      <c r="Q39">
        <f t="shared" si="1"/>
        <v>14</v>
      </c>
      <c r="R39">
        <f t="shared" si="2"/>
        <v>4</v>
      </c>
      <c r="S39">
        <f t="shared" si="3"/>
        <v>5</v>
      </c>
      <c r="T39">
        <f t="shared" si="4"/>
        <v>5</v>
      </c>
      <c r="U39">
        <f t="shared" si="5"/>
        <v>4</v>
      </c>
    </row>
    <row r="40" spans="3:21" x14ac:dyDescent="0.3">
      <c r="C40" t="s">
        <v>14</v>
      </c>
      <c r="D40" t="s">
        <v>123</v>
      </c>
      <c r="E40" t="s">
        <v>124</v>
      </c>
      <c r="F40" t="s">
        <v>136</v>
      </c>
      <c r="G40" t="s">
        <v>18</v>
      </c>
      <c r="H40" t="s">
        <v>33</v>
      </c>
      <c r="I40" t="s">
        <v>137</v>
      </c>
      <c r="J40" t="s">
        <v>138</v>
      </c>
      <c r="K40" t="s">
        <v>139</v>
      </c>
      <c r="L40" t="s">
        <v>140</v>
      </c>
      <c r="M40" t="s">
        <v>38</v>
      </c>
      <c r="N40" t="s">
        <v>140</v>
      </c>
      <c r="O40">
        <f t="shared" si="0"/>
        <v>34</v>
      </c>
      <c r="Q40">
        <f t="shared" si="1"/>
        <v>22</v>
      </c>
      <c r="R40">
        <f t="shared" si="2"/>
        <v>1</v>
      </c>
      <c r="S40">
        <f t="shared" si="3"/>
        <v>1</v>
      </c>
      <c r="T40">
        <f t="shared" si="4"/>
        <v>1</v>
      </c>
      <c r="U40">
        <f t="shared" si="5"/>
        <v>1</v>
      </c>
    </row>
    <row r="41" spans="3:21" x14ac:dyDescent="0.3">
      <c r="C41" t="s">
        <v>14</v>
      </c>
      <c r="D41" t="s">
        <v>123</v>
      </c>
      <c r="E41" t="s">
        <v>124</v>
      </c>
      <c r="F41" t="s">
        <v>141</v>
      </c>
      <c r="G41" t="s">
        <v>18</v>
      </c>
      <c r="H41" t="s">
        <v>33</v>
      </c>
      <c r="I41" t="s">
        <v>142</v>
      </c>
      <c r="J41" t="s">
        <v>143</v>
      </c>
      <c r="K41" t="s">
        <v>144</v>
      </c>
      <c r="L41" t="s">
        <v>137</v>
      </c>
      <c r="M41" t="s">
        <v>45</v>
      </c>
      <c r="N41" t="s">
        <v>144</v>
      </c>
      <c r="O41">
        <f t="shared" si="0"/>
        <v>36</v>
      </c>
      <c r="Q41">
        <f t="shared" si="1"/>
        <v>24</v>
      </c>
      <c r="R41">
        <f t="shared" si="2"/>
        <v>1</v>
      </c>
      <c r="S41">
        <f t="shared" si="3"/>
        <v>1</v>
      </c>
      <c r="T41">
        <f t="shared" si="4"/>
        <v>1</v>
      </c>
      <c r="U41">
        <f t="shared" si="5"/>
        <v>1</v>
      </c>
    </row>
    <row r="42" spans="3:21" x14ac:dyDescent="0.3">
      <c r="C42" t="s">
        <v>14</v>
      </c>
      <c r="D42" t="s">
        <v>123</v>
      </c>
      <c r="E42" t="s">
        <v>124</v>
      </c>
      <c r="F42" t="s">
        <v>145</v>
      </c>
      <c r="G42" t="s">
        <v>18</v>
      </c>
      <c r="H42" t="s">
        <v>40</v>
      </c>
      <c r="I42" t="s">
        <v>146</v>
      </c>
      <c r="J42" t="s">
        <v>147</v>
      </c>
      <c r="K42" t="s">
        <v>148</v>
      </c>
      <c r="L42" t="s">
        <v>149</v>
      </c>
      <c r="M42" t="s">
        <v>24</v>
      </c>
      <c r="N42" t="s">
        <v>147</v>
      </c>
      <c r="O42">
        <f t="shared" si="0"/>
        <v>51</v>
      </c>
      <c r="Q42">
        <f t="shared" si="1"/>
        <v>23</v>
      </c>
      <c r="R42">
        <f t="shared" si="2"/>
        <v>4</v>
      </c>
      <c r="S42">
        <f t="shared" si="3"/>
        <v>5</v>
      </c>
      <c r="T42">
        <f t="shared" si="4"/>
        <v>3</v>
      </c>
      <c r="U42">
        <f t="shared" si="5"/>
        <v>4</v>
      </c>
    </row>
    <row r="43" spans="3:21" x14ac:dyDescent="0.3">
      <c r="C43" t="s">
        <v>14</v>
      </c>
      <c r="D43" t="s">
        <v>130</v>
      </c>
      <c r="E43" t="s">
        <v>124</v>
      </c>
      <c r="F43" t="s">
        <v>150</v>
      </c>
      <c r="G43" t="s">
        <v>18</v>
      </c>
      <c r="H43" t="s">
        <v>48</v>
      </c>
      <c r="I43" t="s">
        <v>151</v>
      </c>
      <c r="J43" t="s">
        <v>152</v>
      </c>
      <c r="K43" t="s">
        <v>153</v>
      </c>
      <c r="L43" t="s">
        <v>154</v>
      </c>
      <c r="M43" t="s">
        <v>38</v>
      </c>
      <c r="N43" t="s">
        <v>154</v>
      </c>
      <c r="O43">
        <f t="shared" si="0"/>
        <v>60</v>
      </c>
      <c r="Q43">
        <f t="shared" si="1"/>
        <v>23</v>
      </c>
      <c r="R43">
        <f t="shared" si="2"/>
        <v>6</v>
      </c>
      <c r="S43">
        <f t="shared" si="3"/>
        <v>5</v>
      </c>
      <c r="T43">
        <f t="shared" si="4"/>
        <v>6</v>
      </c>
      <c r="U43">
        <f t="shared" si="5"/>
        <v>6</v>
      </c>
    </row>
    <row r="44" spans="3:21" x14ac:dyDescent="0.3">
      <c r="C44" t="s">
        <v>14</v>
      </c>
      <c r="D44" t="s">
        <v>123</v>
      </c>
      <c r="E44" t="s">
        <v>124</v>
      </c>
      <c r="F44" t="s">
        <v>155</v>
      </c>
      <c r="G44" t="s">
        <v>18</v>
      </c>
      <c r="H44" t="s">
        <v>26</v>
      </c>
      <c r="I44" t="s">
        <v>156</v>
      </c>
      <c r="J44" t="s">
        <v>157</v>
      </c>
      <c r="K44" t="s">
        <v>158</v>
      </c>
      <c r="L44" t="s">
        <v>159</v>
      </c>
      <c r="M44" t="s">
        <v>45</v>
      </c>
      <c r="N44" t="s">
        <v>158</v>
      </c>
      <c r="O44">
        <f t="shared" si="0"/>
        <v>42</v>
      </c>
      <c r="Q44">
        <f t="shared" si="1"/>
        <v>14</v>
      </c>
      <c r="R44">
        <f t="shared" si="2"/>
        <v>5</v>
      </c>
      <c r="S44">
        <f t="shared" si="3"/>
        <v>4</v>
      </c>
      <c r="T44">
        <f t="shared" si="4"/>
        <v>5</v>
      </c>
      <c r="U44">
        <f t="shared" si="5"/>
        <v>4</v>
      </c>
    </row>
    <row r="45" spans="3:21" x14ac:dyDescent="0.3">
      <c r="C45" t="s">
        <v>14</v>
      </c>
      <c r="D45" t="s">
        <v>160</v>
      </c>
      <c r="E45" t="s">
        <v>124</v>
      </c>
      <c r="F45" t="s">
        <v>161</v>
      </c>
      <c r="G45" t="s">
        <v>18</v>
      </c>
      <c r="H45" t="s">
        <v>19</v>
      </c>
      <c r="I45" t="s">
        <v>162</v>
      </c>
      <c r="J45" t="s">
        <v>163</v>
      </c>
      <c r="K45" t="s">
        <v>164</v>
      </c>
      <c r="L45" t="s">
        <v>165</v>
      </c>
      <c r="M45" t="s">
        <v>68</v>
      </c>
      <c r="N45" t="s">
        <v>162</v>
      </c>
      <c r="O45">
        <f t="shared" si="0"/>
        <v>42</v>
      </c>
      <c r="Q45">
        <f t="shared" si="1"/>
        <v>15</v>
      </c>
      <c r="R45">
        <f t="shared" si="2"/>
        <v>4</v>
      </c>
      <c r="S45">
        <f t="shared" si="3"/>
        <v>4</v>
      </c>
      <c r="T45">
        <f t="shared" si="4"/>
        <v>5</v>
      </c>
      <c r="U45">
        <f t="shared" si="5"/>
        <v>4</v>
      </c>
    </row>
    <row r="46" spans="3:21" x14ac:dyDescent="0.3">
      <c r="C46" t="s">
        <v>14</v>
      </c>
      <c r="D46" t="s">
        <v>123</v>
      </c>
      <c r="E46" t="s">
        <v>124</v>
      </c>
      <c r="F46" t="s">
        <v>166</v>
      </c>
      <c r="G46" t="s">
        <v>18</v>
      </c>
      <c r="H46" t="s">
        <v>40</v>
      </c>
      <c r="I46" t="s">
        <v>167</v>
      </c>
      <c r="J46" t="s">
        <v>168</v>
      </c>
      <c r="K46" t="s">
        <v>169</v>
      </c>
      <c r="L46" t="s">
        <v>170</v>
      </c>
      <c r="M46" t="s">
        <v>38</v>
      </c>
      <c r="N46" t="s">
        <v>170</v>
      </c>
      <c r="O46">
        <f t="shared" si="0"/>
        <v>48</v>
      </c>
      <c r="Q46">
        <f t="shared" si="1"/>
        <v>17</v>
      </c>
      <c r="R46">
        <f t="shared" si="2"/>
        <v>5</v>
      </c>
      <c r="S46">
        <f t="shared" si="3"/>
        <v>4</v>
      </c>
      <c r="T46">
        <f t="shared" si="4"/>
        <v>6</v>
      </c>
      <c r="U46">
        <f t="shared" si="5"/>
        <v>5</v>
      </c>
    </row>
    <row r="47" spans="3:21" x14ac:dyDescent="0.3">
      <c r="C47" t="s">
        <v>14</v>
      </c>
      <c r="D47" t="s">
        <v>160</v>
      </c>
      <c r="E47" t="s">
        <v>124</v>
      </c>
      <c r="F47" t="s">
        <v>210</v>
      </c>
      <c r="G47" t="s">
        <v>18</v>
      </c>
      <c r="H47" t="s">
        <v>26</v>
      </c>
      <c r="I47" t="s">
        <v>209</v>
      </c>
      <c r="J47" t="s">
        <v>208</v>
      </c>
      <c r="K47" t="s">
        <v>206</v>
      </c>
      <c r="L47" t="s">
        <v>207</v>
      </c>
      <c r="M47" t="s">
        <v>45</v>
      </c>
      <c r="N47" t="s">
        <v>206</v>
      </c>
      <c r="O47">
        <f t="shared" si="0"/>
        <v>74</v>
      </c>
      <c r="Q47">
        <f t="shared" si="1"/>
        <v>32</v>
      </c>
      <c r="R47">
        <f t="shared" si="2"/>
        <v>8</v>
      </c>
      <c r="S47">
        <f t="shared" si="3"/>
        <v>5</v>
      </c>
      <c r="T47">
        <f t="shared" si="4"/>
        <v>6</v>
      </c>
      <c r="U47">
        <f t="shared" si="5"/>
        <v>6</v>
      </c>
    </row>
    <row r="48" spans="3:21" x14ac:dyDescent="0.3">
      <c r="C48" t="s">
        <v>14</v>
      </c>
      <c r="D48" t="s">
        <v>123</v>
      </c>
      <c r="E48" t="s">
        <v>124</v>
      </c>
      <c r="F48" t="s">
        <v>205</v>
      </c>
      <c r="G48" t="s">
        <v>18</v>
      </c>
      <c r="H48" t="s">
        <v>33</v>
      </c>
      <c r="I48" t="s">
        <v>204</v>
      </c>
      <c r="J48" t="s">
        <v>201</v>
      </c>
      <c r="K48" t="s">
        <v>203</v>
      </c>
      <c r="L48" t="s">
        <v>202</v>
      </c>
      <c r="M48" t="s">
        <v>24</v>
      </c>
      <c r="N48" t="s">
        <v>201</v>
      </c>
      <c r="O48">
        <v>80</v>
      </c>
      <c r="Q48">
        <f t="shared" si="1"/>
        <v>38</v>
      </c>
      <c r="R48">
        <f t="shared" si="2"/>
        <v>2</v>
      </c>
      <c r="S48">
        <f t="shared" si="3"/>
        <v>2</v>
      </c>
      <c r="T48">
        <f t="shared" si="4"/>
        <v>2</v>
      </c>
      <c r="U48">
        <f t="shared" si="5"/>
        <v>2</v>
      </c>
    </row>
    <row r="49" spans="3:21" x14ac:dyDescent="0.3">
      <c r="C49" t="s">
        <v>14</v>
      </c>
      <c r="D49" t="s">
        <v>123</v>
      </c>
      <c r="E49" t="s">
        <v>124</v>
      </c>
      <c r="F49" t="s">
        <v>200</v>
      </c>
      <c r="G49" t="s">
        <v>18</v>
      </c>
      <c r="H49" t="s">
        <v>40</v>
      </c>
      <c r="I49" t="s">
        <v>196</v>
      </c>
      <c r="J49" t="s">
        <v>199</v>
      </c>
      <c r="K49" t="s">
        <v>198</v>
      </c>
      <c r="L49" t="s">
        <v>197</v>
      </c>
      <c r="M49" t="s">
        <v>68</v>
      </c>
      <c r="N49" t="s">
        <v>196</v>
      </c>
      <c r="O49">
        <v>90</v>
      </c>
      <c r="Q49">
        <f t="shared" si="1"/>
        <v>36</v>
      </c>
      <c r="R49">
        <f t="shared" si="2"/>
        <v>7</v>
      </c>
      <c r="S49">
        <f t="shared" si="3"/>
        <v>7</v>
      </c>
      <c r="T49">
        <f t="shared" si="4"/>
        <v>6</v>
      </c>
      <c r="U49">
        <f t="shared" si="5"/>
        <v>9</v>
      </c>
    </row>
    <row r="50" spans="3:21" x14ac:dyDescent="0.3">
      <c r="C50" t="s">
        <v>14</v>
      </c>
      <c r="D50" t="s">
        <v>160</v>
      </c>
      <c r="E50" t="s">
        <v>124</v>
      </c>
      <c r="F50" t="s">
        <v>195</v>
      </c>
      <c r="G50" t="s">
        <v>18</v>
      </c>
      <c r="H50" t="s">
        <v>19</v>
      </c>
      <c r="I50" t="s">
        <v>194</v>
      </c>
      <c r="J50" t="s">
        <v>191</v>
      </c>
      <c r="K50" t="s">
        <v>193</v>
      </c>
      <c r="L50" t="s">
        <v>192</v>
      </c>
      <c r="M50" t="s">
        <v>24</v>
      </c>
      <c r="N50" t="s">
        <v>191</v>
      </c>
      <c r="O50">
        <v>90</v>
      </c>
      <c r="Q50">
        <f t="shared" si="1"/>
        <v>36</v>
      </c>
      <c r="R50">
        <f t="shared" si="2"/>
        <v>7</v>
      </c>
      <c r="S50">
        <f t="shared" si="3"/>
        <v>6</v>
      </c>
      <c r="T50">
        <f t="shared" si="4"/>
        <v>6</v>
      </c>
      <c r="U50">
        <f t="shared" si="5"/>
        <v>7</v>
      </c>
    </row>
    <row r="51" spans="3:21" x14ac:dyDescent="0.3">
      <c r="C51" t="s">
        <v>14</v>
      </c>
      <c r="D51" t="s">
        <v>123</v>
      </c>
      <c r="E51" t="s">
        <v>124</v>
      </c>
      <c r="F51" t="s">
        <v>190</v>
      </c>
      <c r="G51" t="s">
        <v>18</v>
      </c>
      <c r="H51" t="s">
        <v>26</v>
      </c>
      <c r="I51" t="s">
        <v>186</v>
      </c>
      <c r="J51" t="s">
        <v>189</v>
      </c>
      <c r="K51" t="s">
        <v>188</v>
      </c>
      <c r="L51" t="s">
        <v>187</v>
      </c>
      <c r="M51" t="s">
        <v>68</v>
      </c>
      <c r="N51" t="s">
        <v>186</v>
      </c>
      <c r="O51">
        <f t="shared" si="0"/>
        <v>78</v>
      </c>
      <c r="Q51">
        <f t="shared" si="1"/>
        <v>33</v>
      </c>
      <c r="R51">
        <f t="shared" si="2"/>
        <v>7</v>
      </c>
      <c r="S51">
        <f t="shared" si="3"/>
        <v>7</v>
      </c>
      <c r="T51">
        <f t="shared" si="4"/>
        <v>7</v>
      </c>
      <c r="U51">
        <f t="shared" si="5"/>
        <v>6</v>
      </c>
    </row>
    <row r="52" spans="3:21" x14ac:dyDescent="0.3">
      <c r="C52" t="s">
        <v>14</v>
      </c>
      <c r="D52" t="s">
        <v>123</v>
      </c>
      <c r="E52" t="s">
        <v>124</v>
      </c>
      <c r="F52" t="s">
        <v>185</v>
      </c>
      <c r="G52" t="s">
        <v>18</v>
      </c>
      <c r="H52" t="s">
        <v>33</v>
      </c>
      <c r="I52" t="s">
        <v>184</v>
      </c>
      <c r="J52" t="s">
        <v>183</v>
      </c>
      <c r="K52" t="s">
        <v>181</v>
      </c>
      <c r="L52" t="s">
        <v>182</v>
      </c>
      <c r="M52" t="s">
        <v>45</v>
      </c>
      <c r="N52" t="s">
        <v>181</v>
      </c>
      <c r="O52">
        <v>90</v>
      </c>
      <c r="Q52">
        <f t="shared" si="1"/>
        <v>40</v>
      </c>
      <c r="R52">
        <f t="shared" si="2"/>
        <v>5</v>
      </c>
      <c r="S52">
        <f t="shared" si="3"/>
        <v>5</v>
      </c>
      <c r="T52">
        <f t="shared" si="4"/>
        <v>5</v>
      </c>
      <c r="U52">
        <f t="shared" si="5"/>
        <v>5</v>
      </c>
    </row>
    <row r="53" spans="3:21" x14ac:dyDescent="0.3">
      <c r="C53" t="s">
        <v>14</v>
      </c>
      <c r="D53" t="s">
        <v>130</v>
      </c>
      <c r="E53" t="s">
        <v>124</v>
      </c>
      <c r="F53" t="s">
        <v>180</v>
      </c>
      <c r="G53" t="s">
        <v>18</v>
      </c>
      <c r="H53" t="s">
        <v>40</v>
      </c>
      <c r="I53" t="s">
        <v>179</v>
      </c>
      <c r="J53" t="s">
        <v>178</v>
      </c>
      <c r="K53" t="s">
        <v>177</v>
      </c>
      <c r="L53" t="s">
        <v>176</v>
      </c>
      <c r="M53" t="s">
        <v>38</v>
      </c>
      <c r="N53" t="s">
        <v>176</v>
      </c>
      <c r="O53">
        <v>85</v>
      </c>
      <c r="Q53">
        <f t="shared" si="1"/>
        <v>34</v>
      </c>
      <c r="R53">
        <f t="shared" si="2"/>
        <v>7</v>
      </c>
      <c r="S53">
        <f t="shared" si="3"/>
        <v>6</v>
      </c>
      <c r="T53">
        <f t="shared" si="4"/>
        <v>7</v>
      </c>
      <c r="U53">
        <f t="shared" si="5"/>
        <v>6</v>
      </c>
    </row>
    <row r="54" spans="3:21" x14ac:dyDescent="0.3">
      <c r="C54" t="s">
        <v>14</v>
      </c>
      <c r="D54" t="s">
        <v>160</v>
      </c>
      <c r="E54" t="s">
        <v>124</v>
      </c>
      <c r="F54" t="s">
        <v>175</v>
      </c>
      <c r="G54" t="s">
        <v>18</v>
      </c>
      <c r="H54" t="s">
        <v>26</v>
      </c>
      <c r="I54" t="s">
        <v>174</v>
      </c>
      <c r="J54" t="s">
        <v>173</v>
      </c>
      <c r="K54" t="s">
        <v>171</v>
      </c>
      <c r="L54" t="s">
        <v>172</v>
      </c>
      <c r="M54" t="s">
        <v>45</v>
      </c>
      <c r="N54" t="s">
        <v>171</v>
      </c>
      <c r="O54">
        <f t="shared" si="0"/>
        <v>72</v>
      </c>
      <c r="Q54">
        <f t="shared" si="1"/>
        <v>34</v>
      </c>
      <c r="R54">
        <f t="shared" si="2"/>
        <v>5</v>
      </c>
      <c r="S54">
        <f t="shared" si="3"/>
        <v>5</v>
      </c>
      <c r="T54">
        <f t="shared" si="4"/>
        <v>5</v>
      </c>
      <c r="U54">
        <f t="shared" si="5"/>
        <v>6</v>
      </c>
    </row>
  </sheetData>
  <sortState xmlns:xlrd2="http://schemas.microsoft.com/office/spreadsheetml/2017/richdata2" ref="A2:N54">
    <sortCondition ref="E2:E54"/>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Quiz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daneve obero</cp:lastModifiedBy>
  <dcterms:created xsi:type="dcterms:W3CDTF">2026-07-02T14:58:26Z</dcterms:created>
  <dcterms:modified xsi:type="dcterms:W3CDTF">2026-07-03T05:19:40Z</dcterms:modified>
</cp:coreProperties>
</file>