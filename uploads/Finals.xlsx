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ortcut-targets-by-id\1QV9Y5VHjGjiNrKFPhC-Bc7BYyOJ0358P\DANEVE OBERO\MM104\Quiz\"/>
    </mc:Choice>
  </mc:AlternateContent>
  <xr:revisionPtr revIDLastSave="0" documentId="13_ncr:1_{9C8031B5-A08B-42B3-AC24-B303D5AB5F19}" xr6:coauthVersionLast="47" xr6:coauthVersionMax="47" xr10:uidLastSave="{00000000-0000-0000-0000-000000000000}"/>
  <bookViews>
    <workbookView xWindow="-108" yWindow="-108" windowWidth="23256" windowHeight="12576" xr2:uid="{00000000-000D-0000-FFFF-FFFF00000000}"/>
  </bookViews>
  <sheets>
    <sheet name="Quiz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O3" i="1" s="1"/>
  <c r="R3" i="1"/>
  <c r="S3" i="1"/>
  <c r="T3" i="1"/>
  <c r="U3" i="1"/>
  <c r="Q4" i="1"/>
  <c r="O4" i="1" s="1"/>
  <c r="R4" i="1"/>
  <c r="S4" i="1"/>
  <c r="T4" i="1"/>
  <c r="U4" i="1"/>
  <c r="Q5" i="1"/>
  <c r="R5" i="1"/>
  <c r="O5" i="1" s="1"/>
  <c r="S5" i="1"/>
  <c r="T5" i="1"/>
  <c r="U5" i="1"/>
  <c r="Q6" i="1"/>
  <c r="O6" i="1" s="1"/>
  <c r="R6" i="1"/>
  <c r="S6" i="1"/>
  <c r="T6" i="1"/>
  <c r="U6" i="1"/>
  <c r="Q7" i="1"/>
  <c r="O7" i="1" s="1"/>
  <c r="R7" i="1"/>
  <c r="S7" i="1"/>
  <c r="T7" i="1"/>
  <c r="U7" i="1"/>
  <c r="Q8" i="1"/>
  <c r="O8" i="1" s="1"/>
  <c r="R8" i="1"/>
  <c r="S8" i="1"/>
  <c r="T8" i="1"/>
  <c r="U8" i="1"/>
  <c r="Q9" i="1"/>
  <c r="R9" i="1"/>
  <c r="O9" i="1" s="1"/>
  <c r="S9" i="1"/>
  <c r="T9" i="1"/>
  <c r="U9" i="1"/>
  <c r="Q10" i="1"/>
  <c r="O10" i="1" s="1"/>
  <c r="R10" i="1"/>
  <c r="S10" i="1"/>
  <c r="T10" i="1"/>
  <c r="U10" i="1"/>
  <c r="Q11" i="1"/>
  <c r="O11" i="1" s="1"/>
  <c r="R11" i="1"/>
  <c r="S11" i="1"/>
  <c r="T11" i="1"/>
  <c r="U11" i="1"/>
  <c r="Q12" i="1"/>
  <c r="O12" i="1" s="1"/>
  <c r="R12" i="1"/>
  <c r="S12" i="1"/>
  <c r="T12" i="1"/>
  <c r="U12" i="1"/>
  <c r="Q13" i="1"/>
  <c r="R13" i="1"/>
  <c r="O13" i="1" s="1"/>
  <c r="S13" i="1"/>
  <c r="T13" i="1"/>
  <c r="U13" i="1"/>
  <c r="Q14" i="1"/>
  <c r="O14" i="1" s="1"/>
  <c r="R14" i="1"/>
  <c r="S14" i="1"/>
  <c r="T14" i="1"/>
  <c r="U14" i="1"/>
  <c r="Q15" i="1"/>
  <c r="O15" i="1" s="1"/>
  <c r="R15" i="1"/>
  <c r="S15" i="1"/>
  <c r="T15" i="1"/>
  <c r="U15" i="1"/>
  <c r="Q16" i="1"/>
  <c r="O16" i="1" s="1"/>
  <c r="R16" i="1"/>
  <c r="S16" i="1"/>
  <c r="T16" i="1"/>
  <c r="U16" i="1"/>
  <c r="Q17" i="1"/>
  <c r="R17" i="1"/>
  <c r="O17" i="1" s="1"/>
  <c r="S17" i="1"/>
  <c r="T17" i="1"/>
  <c r="U17" i="1"/>
  <c r="Q18" i="1"/>
  <c r="O18" i="1" s="1"/>
  <c r="R18" i="1"/>
  <c r="S18" i="1"/>
  <c r="T18" i="1"/>
  <c r="U18" i="1"/>
  <c r="Q19" i="1"/>
  <c r="O19" i="1" s="1"/>
  <c r="R19" i="1"/>
  <c r="S19" i="1"/>
  <c r="T19" i="1"/>
  <c r="U19" i="1"/>
  <c r="Q20" i="1"/>
  <c r="O20" i="1" s="1"/>
  <c r="R20" i="1"/>
  <c r="S20" i="1"/>
  <c r="T20" i="1"/>
  <c r="U20" i="1"/>
  <c r="Q21" i="1"/>
  <c r="R21" i="1"/>
  <c r="O21" i="1" s="1"/>
  <c r="S21" i="1"/>
  <c r="T21" i="1"/>
  <c r="U21" i="1"/>
  <c r="Q22" i="1"/>
  <c r="O22" i="1" s="1"/>
  <c r="R22" i="1"/>
  <c r="S22" i="1"/>
  <c r="T22" i="1"/>
  <c r="U22" i="1"/>
  <c r="Q23" i="1"/>
  <c r="O23" i="1" s="1"/>
  <c r="R23" i="1"/>
  <c r="S23" i="1"/>
  <c r="T23" i="1"/>
  <c r="U23" i="1"/>
  <c r="Q24" i="1"/>
  <c r="O24" i="1" s="1"/>
  <c r="R24" i="1"/>
  <c r="S24" i="1"/>
  <c r="T24" i="1"/>
  <c r="U24" i="1"/>
  <c r="Q25" i="1"/>
  <c r="R25" i="1"/>
  <c r="O25" i="1" s="1"/>
  <c r="S25" i="1"/>
  <c r="T25" i="1"/>
  <c r="U25" i="1"/>
  <c r="Q26" i="1"/>
  <c r="O26" i="1" s="1"/>
  <c r="R26" i="1"/>
  <c r="S26" i="1"/>
  <c r="T26" i="1"/>
  <c r="U26" i="1"/>
  <c r="Q27" i="1"/>
  <c r="O27" i="1" s="1"/>
  <c r="R27" i="1"/>
  <c r="S27" i="1"/>
  <c r="T27" i="1"/>
  <c r="U27" i="1"/>
  <c r="Q28" i="1"/>
  <c r="O28" i="1" s="1"/>
  <c r="R28" i="1"/>
  <c r="S28" i="1"/>
  <c r="T28" i="1"/>
  <c r="U28" i="1"/>
  <c r="Q29" i="1"/>
  <c r="R29" i="1"/>
  <c r="O29" i="1" s="1"/>
  <c r="S29" i="1"/>
  <c r="T29" i="1"/>
  <c r="U29" i="1"/>
  <c r="Q30" i="1"/>
  <c r="O30" i="1" s="1"/>
  <c r="R30" i="1"/>
  <c r="S30" i="1"/>
  <c r="T30" i="1"/>
  <c r="U30" i="1"/>
  <c r="Q31" i="1"/>
  <c r="O31" i="1" s="1"/>
  <c r="R31" i="1"/>
  <c r="S31" i="1"/>
  <c r="T31" i="1"/>
  <c r="U31" i="1"/>
  <c r="Q32" i="1"/>
  <c r="O32" i="1" s="1"/>
  <c r="R32" i="1"/>
  <c r="S32" i="1"/>
  <c r="T32" i="1"/>
  <c r="U32" i="1"/>
  <c r="Q33" i="1"/>
  <c r="R33" i="1"/>
  <c r="O33" i="1" s="1"/>
  <c r="S33" i="1"/>
  <c r="T33" i="1"/>
  <c r="U33" i="1"/>
  <c r="Q34" i="1"/>
  <c r="O34" i="1" s="1"/>
  <c r="R34" i="1"/>
  <c r="S34" i="1"/>
  <c r="T34" i="1"/>
  <c r="U34" i="1"/>
  <c r="Q35" i="1"/>
  <c r="O35" i="1" s="1"/>
  <c r="R35" i="1"/>
  <c r="S35" i="1"/>
  <c r="T35" i="1"/>
  <c r="U35" i="1"/>
  <c r="Q36" i="1"/>
  <c r="O36" i="1" s="1"/>
  <c r="R36" i="1"/>
  <c r="S36" i="1"/>
  <c r="T36" i="1"/>
  <c r="U36" i="1"/>
  <c r="Q37" i="1"/>
  <c r="R37" i="1"/>
  <c r="O37" i="1" s="1"/>
  <c r="S37" i="1"/>
  <c r="T37" i="1"/>
  <c r="U37" i="1"/>
  <c r="Q38" i="1"/>
  <c r="O38" i="1" s="1"/>
  <c r="R38" i="1"/>
  <c r="S38" i="1"/>
  <c r="T38" i="1"/>
  <c r="U38" i="1"/>
  <c r="Q39" i="1"/>
  <c r="O39" i="1" s="1"/>
  <c r="R39" i="1"/>
  <c r="S39" i="1"/>
  <c r="T39" i="1"/>
  <c r="U39" i="1"/>
  <c r="Q40" i="1"/>
  <c r="O40" i="1" s="1"/>
  <c r="R40" i="1"/>
  <c r="S40" i="1"/>
  <c r="T40" i="1"/>
  <c r="U40" i="1"/>
  <c r="Q41" i="1"/>
  <c r="R41" i="1"/>
  <c r="O41" i="1" s="1"/>
  <c r="S41" i="1"/>
  <c r="T41" i="1"/>
  <c r="U41" i="1"/>
  <c r="Q42" i="1"/>
  <c r="O42" i="1" s="1"/>
  <c r="R42" i="1"/>
  <c r="S42" i="1"/>
  <c r="T42" i="1"/>
  <c r="U42" i="1"/>
  <c r="Q43" i="1"/>
  <c r="O43" i="1" s="1"/>
  <c r="R43" i="1"/>
  <c r="S43" i="1"/>
  <c r="T43" i="1"/>
  <c r="U43" i="1"/>
  <c r="Q44" i="1"/>
  <c r="O44" i="1" s="1"/>
  <c r="R44" i="1"/>
  <c r="S44" i="1"/>
  <c r="T44" i="1"/>
  <c r="U44" i="1"/>
  <c r="Q45" i="1"/>
  <c r="R45" i="1"/>
  <c r="O45" i="1" s="1"/>
  <c r="S45" i="1"/>
  <c r="T45" i="1"/>
  <c r="U45" i="1"/>
  <c r="Q46" i="1"/>
  <c r="O46" i="1" s="1"/>
  <c r="R46" i="1"/>
  <c r="S46" i="1"/>
  <c r="T46" i="1"/>
  <c r="U46" i="1"/>
  <c r="Q47" i="1"/>
  <c r="O47" i="1" s="1"/>
  <c r="R47" i="1"/>
  <c r="S47" i="1"/>
  <c r="T47" i="1"/>
  <c r="U47" i="1"/>
  <c r="Q48" i="1"/>
  <c r="O48" i="1" s="1"/>
  <c r="R48" i="1"/>
  <c r="S48" i="1"/>
  <c r="T48" i="1"/>
  <c r="U48" i="1"/>
  <c r="Q49" i="1"/>
  <c r="R49" i="1"/>
  <c r="O49" i="1" s="1"/>
  <c r="S49" i="1"/>
  <c r="T49" i="1"/>
  <c r="U49" i="1"/>
  <c r="Q50" i="1"/>
  <c r="O50" i="1" s="1"/>
  <c r="R50" i="1"/>
  <c r="S50" i="1"/>
  <c r="T50" i="1"/>
  <c r="U50" i="1"/>
  <c r="Q51" i="1"/>
  <c r="O51" i="1" s="1"/>
  <c r="R51" i="1"/>
  <c r="S51" i="1"/>
  <c r="T51" i="1"/>
  <c r="U51" i="1"/>
  <c r="Q52" i="1"/>
  <c r="O52" i="1" s="1"/>
  <c r="R52" i="1"/>
  <c r="S52" i="1"/>
  <c r="T52" i="1"/>
  <c r="U52" i="1"/>
  <c r="Q53" i="1"/>
  <c r="R53" i="1"/>
  <c r="O53" i="1" s="1"/>
  <c r="S53" i="1"/>
  <c r="T53" i="1"/>
  <c r="U53" i="1"/>
  <c r="Q54" i="1"/>
  <c r="O54" i="1" s="1"/>
  <c r="R54" i="1"/>
  <c r="S54" i="1"/>
  <c r="T54" i="1"/>
  <c r="U54" i="1"/>
  <c r="Q55" i="1"/>
  <c r="O55" i="1" s="1"/>
  <c r="R55" i="1"/>
  <c r="S55" i="1"/>
  <c r="T55" i="1"/>
  <c r="U55" i="1"/>
  <c r="Q56" i="1"/>
  <c r="O56" i="1" s="1"/>
  <c r="R56" i="1"/>
  <c r="S56" i="1"/>
  <c r="T56" i="1"/>
  <c r="U56" i="1"/>
  <c r="Q57" i="1"/>
  <c r="R57" i="1"/>
  <c r="O57" i="1" s="1"/>
  <c r="S57" i="1"/>
  <c r="T57" i="1"/>
  <c r="U57" i="1"/>
  <c r="Q58" i="1"/>
  <c r="O58" i="1" s="1"/>
  <c r="R58" i="1"/>
  <c r="S58" i="1"/>
  <c r="T58" i="1"/>
  <c r="U58" i="1"/>
  <c r="Q59" i="1"/>
  <c r="O59" i="1" s="1"/>
  <c r="R59" i="1"/>
  <c r="S59" i="1"/>
  <c r="T59" i="1"/>
  <c r="U59" i="1"/>
  <c r="Q60" i="1"/>
  <c r="O60" i="1" s="1"/>
  <c r="R60" i="1"/>
  <c r="S60" i="1"/>
  <c r="T60" i="1"/>
  <c r="U60" i="1"/>
  <c r="Q61" i="1"/>
  <c r="R61" i="1"/>
  <c r="O61" i="1" s="1"/>
  <c r="S61" i="1"/>
  <c r="T61" i="1"/>
  <c r="U61" i="1"/>
  <c r="Q62" i="1"/>
  <c r="O62" i="1" s="1"/>
  <c r="R62" i="1"/>
  <c r="S62" i="1"/>
  <c r="T62" i="1"/>
  <c r="U62" i="1"/>
  <c r="Q63" i="1"/>
  <c r="O63" i="1" s="1"/>
  <c r="R63" i="1"/>
  <c r="S63" i="1"/>
  <c r="T63" i="1"/>
  <c r="U63" i="1"/>
  <c r="Q64" i="1"/>
  <c r="O64" i="1" s="1"/>
  <c r="R64" i="1"/>
  <c r="S64" i="1"/>
  <c r="T64" i="1"/>
  <c r="U64" i="1"/>
  <c r="Q65" i="1"/>
  <c r="R65" i="1"/>
  <c r="O65" i="1" s="1"/>
  <c r="S65" i="1"/>
  <c r="T65" i="1"/>
  <c r="U65" i="1"/>
  <c r="Q66" i="1"/>
  <c r="O66" i="1" s="1"/>
  <c r="R66" i="1"/>
  <c r="S66" i="1"/>
  <c r="T66" i="1"/>
  <c r="U66" i="1"/>
  <c r="Q67" i="1"/>
  <c r="O67" i="1" s="1"/>
  <c r="R67" i="1"/>
  <c r="S67" i="1"/>
  <c r="T67" i="1"/>
  <c r="U67" i="1"/>
  <c r="Q68" i="1"/>
  <c r="O68" i="1" s="1"/>
  <c r="R68" i="1"/>
  <c r="S68" i="1"/>
  <c r="T68" i="1"/>
  <c r="U68" i="1"/>
  <c r="Q69" i="1"/>
  <c r="R69" i="1"/>
  <c r="O69" i="1" s="1"/>
  <c r="S69" i="1"/>
  <c r="T69" i="1"/>
  <c r="U69" i="1"/>
  <c r="Q70" i="1"/>
  <c r="O70" i="1" s="1"/>
  <c r="R70" i="1"/>
  <c r="S70" i="1"/>
  <c r="T70" i="1"/>
  <c r="U70" i="1"/>
  <c r="Q71" i="1"/>
  <c r="O71" i="1" s="1"/>
  <c r="R71" i="1"/>
  <c r="S71" i="1"/>
  <c r="T71" i="1"/>
  <c r="U71" i="1"/>
  <c r="Q72" i="1"/>
  <c r="O72" i="1" s="1"/>
  <c r="R72" i="1"/>
  <c r="S72" i="1"/>
  <c r="T72" i="1"/>
  <c r="U72" i="1"/>
  <c r="Q73" i="1"/>
  <c r="R73" i="1"/>
  <c r="O73" i="1" s="1"/>
  <c r="S73" i="1"/>
  <c r="T73" i="1"/>
  <c r="U73" i="1"/>
  <c r="Q74" i="1"/>
  <c r="O74" i="1" s="1"/>
  <c r="R74" i="1"/>
  <c r="S74" i="1"/>
  <c r="T74" i="1"/>
  <c r="U74" i="1"/>
  <c r="Q75" i="1"/>
  <c r="O75" i="1" s="1"/>
  <c r="R75" i="1"/>
  <c r="S75" i="1"/>
  <c r="T75" i="1"/>
  <c r="U75" i="1"/>
  <c r="Q76" i="1"/>
  <c r="O76" i="1" s="1"/>
  <c r="R76" i="1"/>
  <c r="S76" i="1"/>
  <c r="T76" i="1"/>
  <c r="U76" i="1"/>
  <c r="Q77" i="1"/>
  <c r="R77" i="1"/>
  <c r="O77" i="1" s="1"/>
  <c r="S77" i="1"/>
  <c r="T77" i="1"/>
  <c r="U77" i="1"/>
  <c r="Q78" i="1"/>
  <c r="O78" i="1" s="1"/>
  <c r="R78" i="1"/>
  <c r="S78" i="1"/>
  <c r="T78" i="1"/>
  <c r="U78" i="1"/>
  <c r="Q79" i="1"/>
  <c r="O79" i="1" s="1"/>
  <c r="R79" i="1"/>
  <c r="S79" i="1"/>
  <c r="T79" i="1"/>
  <c r="U79" i="1"/>
  <c r="Q80" i="1"/>
  <c r="O80" i="1" s="1"/>
  <c r="R80" i="1"/>
  <c r="S80" i="1"/>
  <c r="T80" i="1"/>
  <c r="U80" i="1"/>
  <c r="Q81" i="1"/>
  <c r="R81" i="1"/>
  <c r="O81" i="1" s="1"/>
  <c r="S81" i="1"/>
  <c r="T81" i="1"/>
  <c r="U81" i="1"/>
  <c r="Q82" i="1"/>
  <c r="O82" i="1" s="1"/>
  <c r="R82" i="1"/>
  <c r="S82" i="1"/>
  <c r="T82" i="1"/>
  <c r="U82" i="1"/>
  <c r="Q83" i="1"/>
  <c r="O83" i="1" s="1"/>
  <c r="R83" i="1"/>
  <c r="S83" i="1"/>
  <c r="T83" i="1"/>
  <c r="U83" i="1"/>
  <c r="Q84" i="1"/>
  <c r="O84" i="1" s="1"/>
  <c r="R84" i="1"/>
  <c r="S84" i="1"/>
  <c r="T84" i="1"/>
  <c r="U84" i="1"/>
  <c r="Q85" i="1"/>
  <c r="R85" i="1"/>
  <c r="O85" i="1" s="1"/>
  <c r="S85" i="1"/>
  <c r="T85" i="1"/>
  <c r="U85" i="1"/>
  <c r="Q86" i="1"/>
  <c r="O86" i="1" s="1"/>
  <c r="R86" i="1"/>
  <c r="S86" i="1"/>
  <c r="T86" i="1"/>
  <c r="U86" i="1"/>
  <c r="Q87" i="1"/>
  <c r="O87" i="1" s="1"/>
  <c r="R87" i="1"/>
  <c r="S87" i="1"/>
  <c r="T87" i="1"/>
  <c r="U87" i="1"/>
  <c r="Q88" i="1"/>
  <c r="O88" i="1" s="1"/>
  <c r="R88" i="1"/>
  <c r="S88" i="1"/>
  <c r="T88" i="1"/>
  <c r="U88" i="1"/>
  <c r="Q89" i="1"/>
  <c r="R89" i="1"/>
  <c r="O89" i="1" s="1"/>
  <c r="S89" i="1"/>
  <c r="T89" i="1"/>
  <c r="U89" i="1"/>
  <c r="Q90" i="1"/>
  <c r="O90" i="1" s="1"/>
  <c r="R90" i="1"/>
  <c r="S90" i="1"/>
  <c r="T90" i="1"/>
  <c r="U90" i="1"/>
  <c r="Q91" i="1"/>
  <c r="O91" i="1" s="1"/>
  <c r="R91" i="1"/>
  <c r="S91" i="1"/>
  <c r="T91" i="1"/>
  <c r="U91" i="1"/>
  <c r="Q92" i="1"/>
  <c r="O92" i="1" s="1"/>
  <c r="R92" i="1"/>
  <c r="S92" i="1"/>
  <c r="T92" i="1"/>
  <c r="U92" i="1"/>
  <c r="Q93" i="1"/>
  <c r="O93" i="1" s="1"/>
  <c r="R93" i="1"/>
  <c r="S93" i="1"/>
  <c r="T93" i="1"/>
  <c r="U93" i="1"/>
  <c r="Q94" i="1"/>
  <c r="O94" i="1" s="1"/>
  <c r="R94" i="1"/>
  <c r="S94" i="1"/>
  <c r="T94" i="1"/>
  <c r="U94" i="1"/>
  <c r="Q95" i="1"/>
  <c r="O95" i="1" s="1"/>
  <c r="R95" i="1"/>
  <c r="S95" i="1"/>
  <c r="T95" i="1"/>
  <c r="U95" i="1"/>
  <c r="Q96" i="1"/>
  <c r="O96" i="1" s="1"/>
  <c r="R96" i="1"/>
  <c r="S96" i="1"/>
  <c r="T96" i="1"/>
  <c r="U96" i="1"/>
  <c r="Q97" i="1"/>
  <c r="O97" i="1" s="1"/>
  <c r="R97" i="1"/>
  <c r="S97" i="1"/>
  <c r="T97" i="1"/>
  <c r="U97" i="1"/>
  <c r="Q98" i="1"/>
  <c r="O98" i="1" s="1"/>
  <c r="R98" i="1"/>
  <c r="S98" i="1"/>
  <c r="T98" i="1"/>
  <c r="U98" i="1"/>
  <c r="Q99" i="1"/>
  <c r="O99" i="1" s="1"/>
  <c r="R99" i="1"/>
  <c r="S99" i="1"/>
  <c r="T99" i="1"/>
  <c r="U99" i="1"/>
  <c r="Q100" i="1"/>
  <c r="O100" i="1" s="1"/>
  <c r="R100" i="1"/>
  <c r="S100" i="1"/>
  <c r="T100" i="1"/>
  <c r="U100" i="1"/>
  <c r="Q101" i="1"/>
  <c r="O101" i="1" s="1"/>
  <c r="R101" i="1"/>
  <c r="S101" i="1"/>
  <c r="T101" i="1"/>
  <c r="U101" i="1"/>
  <c r="U2" i="1"/>
  <c r="T2" i="1"/>
  <c r="S2" i="1"/>
  <c r="R2" i="1"/>
  <c r="Q2" i="1"/>
  <c r="O2" i="1" s="1"/>
</calcChain>
</file>

<file path=xl/sharedStrings.xml><?xml version="1.0" encoding="utf-8"?>
<sst xmlns="http://schemas.openxmlformats.org/spreadsheetml/2006/main" count="1215" uniqueCount="558">
  <si>
    <t>Subject Code</t>
  </si>
  <si>
    <t>Description</t>
  </si>
  <si>
    <t>Exam Period</t>
  </si>
  <si>
    <t>Learning Outcome</t>
  </si>
  <si>
    <t>Topic</t>
  </si>
  <si>
    <t>QUESTION</t>
  </si>
  <si>
    <t>Type of Question</t>
  </si>
  <si>
    <t>Taxonomy</t>
  </si>
  <si>
    <t>Choice A</t>
  </si>
  <si>
    <t>Choice B</t>
  </si>
  <si>
    <t>Choice C</t>
  </si>
  <si>
    <t>Choice D</t>
  </si>
  <si>
    <t>Answer</t>
  </si>
  <si>
    <t>Correct answer in Words</t>
  </si>
  <si>
    <t>Midterm</t>
  </si>
  <si>
    <t>Explain key digital advertising channels and their role in the modern media mix</t>
  </si>
  <si>
    <t>Week 09 - Digital Advertising and Media</t>
  </si>
  <si>
    <t>Which component of the digital advertising ecosystem is responsible for facilitating real-time bidding for ad impressions?</t>
  </si>
  <si>
    <t>Multiple Choice</t>
  </si>
  <si>
    <t>Remembering</t>
  </si>
  <si>
    <t>Search engines</t>
  </si>
  <si>
    <t>Social platforms</t>
  </si>
  <si>
    <t>Ad exchanges</t>
  </si>
  <si>
    <t>Publisher networks</t>
  </si>
  <si>
    <t>C</t>
  </si>
  <si>
    <t>Differentiate between paid, owned, and earned digital media strategies</t>
  </si>
  <si>
    <t>In the POEM framework, which type of media is described as the most credible but the least controllable?</t>
  </si>
  <si>
    <t>Understanding</t>
  </si>
  <si>
    <t>Paid media</t>
  </si>
  <si>
    <t>Earned media</t>
  </si>
  <si>
    <t>Owned media</t>
  </si>
  <si>
    <t>Shared media</t>
  </si>
  <si>
    <t>B</t>
  </si>
  <si>
    <t>Analyze digital advertising formats across search, display, social media, and programmatic platforms</t>
  </si>
  <si>
    <t>A Philippine advertiser wants to purchase ad inventory programmatically. Which platform should they use to evaluate and bid on individual ad impressions?</t>
  </si>
  <si>
    <t>Applying</t>
  </si>
  <si>
    <t>Supply-side platform (SSP)</t>
  </si>
  <si>
    <t>Ad exchange</t>
  </si>
  <si>
    <t>Demand-side platform (DSP)</t>
  </si>
  <si>
    <t>Publisher network</t>
  </si>
  <si>
    <t>Why do walled garden platforms create challenges for cross-platform attribution?</t>
  </si>
  <si>
    <t>Analyzing</t>
  </si>
  <si>
    <t>They offer limited targeting options</t>
  </si>
  <si>
    <t>They operate within an open-source environment</t>
  </si>
  <si>
    <t>They depend on third-party measurement providers</t>
  </si>
  <si>
    <t>They restrict data portability between platforms</t>
  </si>
  <si>
    <t>D</t>
  </si>
  <si>
    <t>In the Philippine context, why is search advertising particularly effective for SMEs?</t>
  </si>
  <si>
    <t>78% of Filipino consumers use search to research purchases</t>
  </si>
  <si>
    <t>Search ads have the lowest cost-per-click</t>
  </si>
  <si>
    <t>Search ads target users based on social connections</t>
  </si>
  <si>
    <t>Display ads have higher click-through rates</t>
  </si>
  <si>
    <t>A</t>
  </si>
  <si>
    <t>A Philippine beverage brand wants to achieve massive user-generated content volumes quickly. Which TikTok ad format would be most suitable?</t>
  </si>
  <si>
    <t>In-feed ads</t>
  </si>
  <si>
    <t>Branded Hashtag Challenge</t>
  </si>
  <si>
    <t>Spark Ads</t>
  </si>
  <si>
    <t>Branded Effects</t>
  </si>
  <si>
    <t>Why might a brand targeting Filipino Gen Z consumers benefit more from partnering with micro-influencers than mega-influencers?</t>
  </si>
  <si>
    <t>Micro-influencers’ content is perceived as more authentic</t>
  </si>
  <si>
    <t>Mega-influencers are not popular in the Philippines</t>
  </si>
  <si>
    <t>Micro-influencers have broader reach</t>
  </si>
  <si>
    <t>Mega-influencers require longer lead times</t>
  </si>
  <si>
    <t>What is the main function of a Supply-Side Platform (SSP) in programmatic advertising?</t>
  </si>
  <si>
    <t>Bidding on ad impressions on behalf of advertisers</t>
  </si>
  <si>
    <t>Tracking conversions across channels</t>
  </si>
  <si>
    <t>Providing user data for ad targeting</t>
  </si>
  <si>
    <t>Managing and selling ad inventory for publishers</t>
  </si>
  <si>
    <t>Evaluate emerging advertising channels including streaming TV, podcasts, gaming, AR/VR, and AI-driven personalization.</t>
  </si>
  <si>
    <t>Week 10 - Emerging Channels and Content Marketing</t>
  </si>
  <si>
    <t>What is a key characteristic that distinguishes Connected TV (CTV) advertising from linear television advertising?</t>
  </si>
  <si>
    <t>It targets households based on demographics</t>
  </si>
  <si>
    <t>It is only available on smart televisions</t>
  </si>
  <si>
    <t>It allows addressable targeting per household</t>
  </si>
  <si>
    <t>It requires a traditional cable subscription</t>
  </si>
  <si>
    <t>Why are host-read podcast ads considered the gold standard in podcast advertising?</t>
  </si>
  <si>
    <t>They offer better demographic targeting options</t>
  </si>
  <si>
    <t>They are more scalable than programmatic ads</t>
  </si>
  <si>
    <t>They generate higher listener trust and recall</t>
  </si>
  <si>
    <t>They typically cost less than other formats</t>
  </si>
  <si>
    <t>Explain the role of content marketing and branded content in the modern media mix.</t>
  </si>
  <si>
    <t>How does branded content differ from native advertising in terms of primary purpose?</t>
  </si>
  <si>
    <t>Native advertising does not require clear labeling</t>
  </si>
  <si>
    <t>Native advertising is always longer in format</t>
  </si>
  <si>
    <t>Branded content is exclusive to video platforms</t>
  </si>
  <si>
    <t>Branded content prioritizes engagement over promotion</t>
  </si>
  <si>
    <t>Assess the impact of ad-free platforms, ad blockers, and changing consumer media habits.</t>
  </si>
  <si>
    <t>Why is the shift to ad-free subscription models particularly concerning for Philippine advertisers targeting 18-30 year old urban viewers?</t>
  </si>
  <si>
    <t>Evaluating</t>
  </si>
  <si>
    <t>This demographic has the lowest purchasing power</t>
  </si>
  <si>
    <t>They are increasingly unreachable through traditional digital ads</t>
  </si>
  <si>
    <t>They prefer radio over other media channels</t>
  </si>
  <si>
    <t>They are more likely to use ad blockers on desktop</t>
  </si>
  <si>
    <t>What is augmented reality (AR) in the context of advertising?</t>
  </si>
  <si>
    <t>Overlaying digital content onto the real world via smartphone</t>
  </si>
  <si>
    <t>A fully immersive digital environment using headsets</t>
  </si>
  <si>
    <t>Placing advertisements within virtual reality games</t>
  </si>
  <si>
    <t>Creating three-dimensional models for print ads</t>
  </si>
  <si>
    <t>In the Philippine banking example, why is BDO's 'Money Masterclass' considered content marketing rather than branded content?</t>
  </si>
  <si>
    <t>It features BDO products prominently throughout</t>
  </si>
  <si>
    <t>It is distributed exclusively through paid media</t>
  </si>
  <si>
    <t>It provides educational value without hard-selling</t>
  </si>
  <si>
    <t>It is produced by an external media company</t>
  </si>
  <si>
    <t>Why might a Philippine advertiser choose host-read ads over programmatic podcast ads despite higher cost?</t>
  </si>
  <si>
    <t>Host-read ads achieve higher listener trust and recall</t>
  </si>
  <si>
    <t>Host-read ads offer superior targeting capabilities</t>
  </si>
  <si>
    <t>Programmatic podcast ads cannot be measured</t>
  </si>
  <si>
    <t>Host-read ads require less production lead time</t>
  </si>
  <si>
    <t>Apply media scheduling techniques — continuity, flighting, pulsing — based on campaign objectives and consumer behavior</t>
  </si>
  <si>
    <t>Week 11 - Media Strategy Integration Scheduling and Budgeting</t>
  </si>
  <si>
    <t>Which media scheduling model involves continuous advertising at a steady level throughout the year?</t>
  </si>
  <si>
    <t>Pulsing scheduling</t>
  </si>
  <si>
    <t>Flighting scheduling</t>
  </si>
  <si>
    <t>Continuity scheduling</t>
  </si>
  <si>
    <t>Burst scheduling</t>
  </si>
  <si>
    <t>Develop a multi-channel media strategy integrating traditional, digital, and emerging channels</t>
  </si>
  <si>
    <t>Why is digital-first integration often recommended for Philippine D2C brands that cannot afford mass TV?</t>
  </si>
  <si>
    <t>Television is ineffective for building brand equity</t>
  </si>
  <si>
    <t>Platforms like Lazada provide integrated ad ecosystems</t>
  </si>
  <si>
    <t>Digital media has lower production costs</t>
  </si>
  <si>
    <t>Filipino consumers are exclusively online</t>
  </si>
  <si>
    <t>Construct a media budget with channel allocation, phasing, and ROI justification</t>
  </si>
  <si>
    <t>What is a main limitation of last-click attribution in the Philippine e-commerce context?</t>
  </si>
  <si>
    <t>It is too expensive for most Philippine brands</t>
  </si>
  <si>
    <t>It requires integration across multiple data platforms</t>
  </si>
  <si>
    <t>It undervalues awareness channels like TV and OOH</t>
  </si>
  <si>
    <t>It is not supported by Shopee and Lazada platforms</t>
  </si>
  <si>
    <t>Why do media rates for television and OOH increase by 30–50% during the Philippine Christmas season?</t>
  </si>
  <si>
    <t>Media companies arbitrarily raise prices during holidays</t>
  </si>
  <si>
    <t>Advertiser demand increases due to consumer activity</t>
  </si>
  <si>
    <t>The government imposes a holiday surcharge on ads</t>
  </si>
  <si>
    <t>Production costs for advertisements increase significantly</t>
  </si>
  <si>
    <t>In the Jollibee 'Kwentong Jollibee' campaign, what integration strategy is primarily employed?</t>
  </si>
  <si>
    <t>Simultaneous advertising on all available channels</t>
  </si>
  <si>
    <t>Exclusive use of digital and social media platforms</t>
  </si>
  <si>
    <t>Sequential messaging starting with television</t>
  </si>
  <si>
    <t>Radio advertisements broadcast nationwide only</t>
  </si>
  <si>
    <t>Which budgeting method do most Philippine advertising agencies and brands combine with Objective and Task?</t>
  </si>
  <si>
    <t>Percentage of Sales</t>
  </si>
  <si>
    <t>Competitive parity</t>
  </si>
  <si>
    <t>Affordable method</t>
  </si>
  <si>
    <t>Return on Investment allocation</t>
  </si>
  <si>
    <t>Finals</t>
  </si>
  <si>
    <t>Explain the creative strategy process from consumer insight to creative platform to big idea</t>
  </si>
  <si>
    <t>Week 13 - Creative Strategy and the Big Idea</t>
  </si>
  <si>
    <t>What is the primary function of a creative platform in the advertising development process?</t>
  </si>
  <si>
    <t>Contains final advertising copy and visuals</t>
  </si>
  <si>
    <t>Defines strategic territory for development</t>
  </si>
  <si>
    <t>Lists all possible media channels</t>
  </si>
  <si>
    <t>Directly addresses competitor weaknesses</t>
  </si>
  <si>
    <t>Differentiate between creative strategies: USP, brand image, resonance, emotional, and transformational advertising</t>
  </si>
  <si>
    <t>A brand of detergent has a unique ingredient that removes stains better than competitors. Which creative strategy would be most effective for this brand?</t>
  </si>
  <si>
    <t>Using a brand image strategy</t>
  </si>
  <si>
    <t>Using a resonance strategy approach</t>
  </si>
  <si>
    <t>Using a USP strategy for unique benefit</t>
  </si>
  <si>
    <t>Using transformational advertising creatively</t>
  </si>
  <si>
    <t>In evaluating creative work, how is 'originality' different from 'strategic alignment'?</t>
  </si>
  <si>
    <t>Originality focuses on fresh expression while alignment focuses on brief adherence</t>
  </si>
  <si>
    <t>Originality tests emotional impact while alignment tests clarity</t>
  </si>
  <si>
    <t>Alignment focuses on production quality while originality focuses on cost</t>
  </si>
  <si>
    <t>Originality focuses on sustainability while alignment focuses on surprise</t>
  </si>
  <si>
    <t>Apply creative thinking techniques (brainstorming, lateral thinking, SCAMPER) to advertising ideation</t>
  </si>
  <si>
    <t>A creative team uses the SCAMPER technique and decides to combine coffee drinking with a mobile game. Which SCAMPER prompt are they using?</t>
  </si>
  <si>
    <t>Using the Substitute prompt to replace elements</t>
  </si>
  <si>
    <t>Using the Combine prompt to merge concepts</t>
  </si>
  <si>
    <t>Using the Adapt prompt to modify for context</t>
  </si>
  <si>
    <t>Using the Modify prompt to change scale</t>
  </si>
  <si>
    <t>A campaign that connects a brand to the value of 'bayanihan' (community spirit) is using which creative strategy?</t>
  </si>
  <si>
    <t>Creating a new brand personality</t>
  </si>
  <si>
    <t>Demonstrating a unique functional feature</t>
  </si>
  <si>
    <t>Tapping into existing cultural meanings</t>
  </si>
  <si>
    <t>Transforming the product usage experience</t>
  </si>
  <si>
    <t>What is the key difference between transformational advertising and emotional advertising?</t>
  </si>
  <si>
    <t>Transformational ads create emotional associations</t>
  </si>
  <si>
    <t>Transformational ads change the usage experience</t>
  </si>
  <si>
    <t>Emotional ads change the usage experience</t>
  </si>
  <si>
    <t>Emotional ads use only humor and joy</t>
  </si>
  <si>
    <t>Which of the following is NOT one of the four rules of classic brainstorming?</t>
  </si>
  <si>
    <t>Defer judgment during idea generation</t>
  </si>
  <si>
    <t>Aim for quantity over quality of ideas</t>
  </si>
  <si>
    <t>Focus on only practical and feasible ideas</t>
  </si>
  <si>
    <t>Build on others' ideas through hitchhiking</t>
  </si>
  <si>
    <t>In the five-criterion evaluation framework for creative work, which dimension is considered most fundamental?</t>
  </si>
  <si>
    <t>Originality is the most fundamental criterion</t>
  </si>
  <si>
    <t>Impact is the most fundamental criterion</t>
  </si>
  <si>
    <t>Strategic alignment is the most fundamental criterion</t>
  </si>
  <si>
    <t>Sustainability is the most fundamental criterion</t>
  </si>
  <si>
    <t>The BPI Family Savings Bank campaign 'Para sa Pamilya' used a creative platform that expressed which core message?</t>
  </si>
  <si>
    <t>Nandito kami sa bawat hakbang ng pamilya</t>
  </si>
  <si>
    <t>Sama-sama tayo sa pag-unlad</t>
  </si>
  <si>
    <t>Ang pamilya ninyo ang aming pamilya</t>
  </si>
  <si>
    <t>Hindi mo man sabihin, alam namin</t>
  </si>
  <si>
    <t>Write effective advertising copy across different media formats — print, broadcast, digital, and social.</t>
  </si>
  <si>
    <t>Week 14 - Copywriting for Advertising</t>
  </si>
  <si>
    <t>A fundamental rule of copywriting is that broadcast copy must be written for the ear rather than the eye. What specific demand does this place on the broadcast copywriter?</t>
  </si>
  <si>
    <t>Use long and complex sentence structures</t>
  </si>
  <si>
    <t>Be understood immediately on first hearing</t>
  </si>
  <si>
    <t>Rely heavily on pictures and descriptions</t>
  </si>
  <si>
    <t>Create a formal and authoritative tone</t>
  </si>
  <si>
    <t>A copywriter is drafting a 30-second radio script. To fit the standard commercial slot, how many words should the spoken copy approximately contain?</t>
  </si>
  <si>
    <t>30 to 40 words</t>
  </si>
  <si>
    <t>150 to 170 words</t>
  </si>
  <si>
    <t>100 to 120 words</t>
  </si>
  <si>
    <t>65 to 80 words</t>
  </si>
  <si>
    <t>Apply copywriting techniques including headline engineering, storytelling structures, tone of voice, and calls-to-action.</t>
  </si>
  <si>
    <t>The Kwentong Jollibee series is a celebrated example of narrative copy. What is the critical challenge a copywriter must overcome when using this structure?</t>
  </si>
  <si>
    <t>Balance narrative length with ad time</t>
  </si>
  <si>
    <t>Avoid emotional appeals for objectivity</t>
  </si>
  <si>
    <t>Integrate the product into the story</t>
  </si>
  <si>
    <t>Use overly complex storytelling structures</t>
  </si>
  <si>
    <t>An advertisement for a retirement fund uses the headline 'Ano ang gagawin mo sa dagdag na 2 oras?' What headline technique is it primarily employing?</t>
  </si>
  <si>
    <t>Direct headline stating a core benefit</t>
  </si>
  <si>
    <t>News headline announcing something new</t>
  </si>
  <si>
    <t>Indirect headline provoking curiosity</t>
  </si>
  <si>
    <t>Command headline urging immediate action</t>
  </si>
  <si>
    <t>In a standard two-column television script, what information does the copywriter typically place in the left column?</t>
  </si>
  <si>
    <t>Audio details like dialogue and music</t>
  </si>
  <si>
    <t>Duration breakdown for each segment</t>
  </si>
  <si>
    <t>Visual details like camera directions</t>
  </si>
  <si>
    <t>Production budget and schedule notes</t>
  </si>
  <si>
    <t>Adapt copywriting style for diverse audiences, platforms, and cultural contexts.</t>
  </si>
  <si>
    <t>A copywriter chooses to use 'conyo' as the register for a social media campaign targeting urban millennials. What is the primary risk associated with this language choice?</t>
  </si>
  <si>
    <t>Register may be too formal for platform</t>
  </si>
  <si>
    <t>Could alienate provincial mass-market consumers</t>
  </si>
  <si>
    <t>Fails to achieve a bilingual tone of voice</t>
  </si>
  <si>
    <t>Relies too much on deep Tagalog terms</t>
  </si>
  <si>
    <t>Why does the narrative structure in Philippine advertising place a special burden on the copywriter?</t>
  </si>
  <si>
    <t>Making product integral to the story</t>
  </si>
  <si>
    <t>Writing emotional stories under time pressure</t>
  </si>
  <si>
    <t>Hiring professional actors and scriptwriters</t>
  </si>
  <si>
    <t>Viewers understanding complex narrative plots</t>
  </si>
  <si>
    <t>What is the primary purpose of a 'hook' in the first three seconds of a radio commercial?</t>
  </si>
  <si>
    <t>Summarizing the entire commercial message</t>
  </si>
  <si>
    <t>Announcing the brand's main tagline clearly</t>
  </si>
  <si>
    <t>Preventing listeners from tuning out early</t>
  </si>
  <si>
    <t>Establishing the voiceover character talent</t>
  </si>
  <si>
    <t>Explain the principles of art direction — including layout, typography, color theory, imagery, and composition — and their role in expressing a creative idea visually.</t>
  </si>
  <si>
    <t>Week 15 - Art Direction and Visual Communication</t>
  </si>
  <si>
    <t>In advertising layout, what is the primary purpose of visual hierarchy?</t>
  </si>
  <si>
    <t>Ensures all elements are equally sized</t>
  </si>
  <si>
    <t>Arranges elements by communicative importance</t>
  </si>
  <si>
    <t>Creates perfectly symmetrical balance</t>
  </si>
  <si>
    <t>Eliminates the need for typography</t>
  </si>
  <si>
    <t>Apply visual hierarchy, balance, contrast, and unity to advertising layouts across print, digital, and motion formats.</t>
  </si>
  <si>
    <t>Why might a mass-market brand in the Philippines prefer a denser layout with less white space?</t>
  </si>
  <si>
    <t>It signals higher product value to consumers</t>
  </si>
  <si>
    <t>It reduces overall production costs</t>
  </si>
  <si>
    <t>It conforms to global design trends</t>
  </si>
  <si>
    <t>It improves mobile load speed</t>
  </si>
  <si>
    <t>An art director is designing mobile-first ads for the Philippine market. Where should the call-to-action ideally be placed for optimal user interaction?</t>
  </si>
  <si>
    <t>Centered in the middle of the ad</t>
  </si>
  <si>
    <t>Along the top navigation bar</t>
  </si>
  <si>
    <t>In the bottom third of the screen</t>
  </si>
  <si>
    <t>Within the main background image</t>
  </si>
  <si>
    <t>In a typical advertising agency creative team, what is the primary distinction between the roles of the art director and the copywriter?</t>
  </si>
  <si>
    <t>The art director manages the project budget</t>
  </si>
  <si>
    <t>The art director shapes the visual message</t>
  </si>
  <si>
    <t>The art director writes the verbal message</t>
  </si>
  <si>
    <t>The art director conducts market research</t>
  </si>
  <si>
    <t>An art director is creating a print ad for a heritage brand like San Miguel Corporation. Which layout strategy best communicates the brand's stability and tradition?</t>
  </si>
  <si>
    <t>A dynamic, asymmetrical layout</t>
  </si>
  <si>
    <t>A dense layout with no white space</t>
  </si>
  <si>
    <t>A layout dominated by illustration</t>
  </si>
  <si>
    <t>A clean, symmetrical layout</t>
  </si>
  <si>
    <t>Why does the 'Kwentong Jollibee' campaign serve as a strong example of visual unity across different media formats?</t>
  </si>
  <si>
    <t>It uses a different color palette for every medium</t>
  </si>
  <si>
    <t>It relies solely on typography to convey the message</t>
  </si>
  <si>
    <t>It repeats the same warm grade and intimate camera style</t>
  </si>
  <si>
    <t>It features completely different characters in each ad</t>
  </si>
  <si>
    <t>What is the recommended line length for advertising body copy to ensure maximum readability?</t>
  </si>
  <si>
    <t>45–75 characters per line</t>
  </si>
  <si>
    <t>25–35 characters per line</t>
  </si>
  <si>
    <t>80–100 characters per line</t>
  </si>
  <si>
    <t>110–130 characters per line</t>
  </si>
  <si>
    <t>Create advertising rough layouts and storyboards that translate a creative concept into a visual communication piece ready for production discussion.</t>
  </si>
  <si>
    <t>In a professional storyboard for a TV commercial, where should the art director record specifications for camera movement and duration?</t>
  </si>
  <si>
    <t>In the visual panel drawing</t>
  </si>
  <si>
    <t>In the technical notes section</t>
  </si>
  <si>
    <t>In the appended mood board</t>
  </si>
  <si>
    <t>In the final edited video files</t>
  </si>
  <si>
    <t>To create maximum visual tension and draw immediate attention in an advertisement, which color harmony should an art director select?</t>
  </si>
  <si>
    <t>Monochromatic colors</t>
  </si>
  <si>
    <t>Analogous colors</t>
  </si>
  <si>
    <t>Complementary colors</t>
  </si>
  <si>
    <t>Neutral earth tones</t>
  </si>
  <si>
    <t>Describe the advertising production process for television, radio, print, and digital advertising.</t>
  </si>
  <si>
    <t>Week 16 - Advertising Production</t>
  </si>
  <si>
    <t>Why is the choice of actress between morena and mestiza in a beauty ad considered culturally significant in the Philippines?</t>
  </si>
  <si>
    <t>It affects casting costs directly</t>
  </si>
  <si>
    <t>It reflects implicit beauty standards</t>
  </si>
  <si>
    <t>It determines the target age group</t>
  </si>
  <si>
    <t>It influences the choice of music</t>
  </si>
  <si>
    <t>Explain the roles and workflow of the production team — producer, director, cinematographer, editor, sound designer.</t>
  </si>
  <si>
    <t>A director needs to plan actor movements before filming a TVC scene. What is this step called?</t>
  </si>
  <si>
    <t>Lighting setup</t>
  </si>
  <si>
    <t>Rehearsal</t>
  </si>
  <si>
    <t>Blocking</t>
  </si>
  <si>
    <t>Playback</t>
  </si>
  <si>
    <t>How does the production timeline for a social media video typically differ from that of a TVC?</t>
  </si>
  <si>
    <t>Social media videos prioritize speed over perfection</t>
  </si>
  <si>
    <t>TVCs are optimized for mobile viewing</t>
  </si>
  <si>
    <t>Social media videos require longer pre-production</t>
  </si>
  <si>
    <t>TVCs cannot be completely shot in one day</t>
  </si>
  <si>
    <t>What is the minimum resolution required for print-ready digital files?</t>
  </si>
  <si>
    <t>72 dpi</t>
  </si>
  <si>
    <t>300 dpi</t>
  </si>
  <si>
    <t>150 dpi</t>
  </si>
  <si>
    <t>600 dpi</t>
  </si>
  <si>
    <t>Why is 'prayer before shooting' a common practice on Philippine TVC sets?</t>
  </si>
  <si>
    <t>It is required by local labor laws</t>
  </si>
  <si>
    <t>It helps with the lighting setup</t>
  </si>
  <si>
    <t>It reflects a deeply religious culture</t>
  </si>
  <si>
    <t>It is mandatory in actor contracts</t>
  </si>
  <si>
    <t>In radio production, what is a key difference in voice casting for provincial listeners versus Metro Manila listeners?</t>
  </si>
  <si>
    <t>Provincial ads may use a provincial accent</t>
  </si>
  <si>
    <t>Provincial ads use younger voices</t>
  </si>
  <si>
    <t>Provincial ads avoid sound effects</t>
  </si>
  <si>
    <t>Provincial ads are longer in duration</t>
  </si>
  <si>
    <t>Why is radio a particularly effective advertising medium in rural areas of the Philippines?</t>
  </si>
  <si>
    <t>It has lower production costs than TV</t>
  </si>
  <si>
    <t>It has wider reach than TV or internet</t>
  </si>
  <si>
    <t>It uses more memorable jingles</t>
  </si>
  <si>
    <t>It has shorter production timelines</t>
  </si>
  <si>
    <t>How does print production turnaround time in the Philippines typically differ from international standards?</t>
  </si>
  <si>
    <t>It is shorter, often 24 to 48 hours</t>
  </si>
  <si>
    <t>It is longer due to manual processes</t>
  </si>
  <si>
    <t>It is the same as global averages</t>
  </si>
  <si>
    <t>It varies significantly by season</t>
  </si>
  <si>
    <t>Explain methods for measuring advertising effectiveness — pre-testing, post-testing, tracking studies, and digital analytics.</t>
  </si>
  <si>
    <t>Week 17 - Advertising Effectiveness Research and the Campaign Pitch</t>
  </si>
  <si>
    <t>Which of the following is a pre-testing method used in advertising research?</t>
  </si>
  <si>
    <t>Brand lift study</t>
  </si>
  <si>
    <t>Day-After Recall test</t>
  </si>
  <si>
    <t>Concept testing</t>
  </si>
  <si>
    <t>Sales lift analysis</t>
  </si>
  <si>
    <t>How does the cultural value of 'pakikisama' affect focus group discussions in the Philippines?</t>
  </si>
  <si>
    <t>Participants give longer and more detailed responses</t>
  </si>
  <si>
    <t>Participants may avoid direct criticism of advertisements</t>
  </si>
  <si>
    <t>Participants prefer speaking in English over Tagalog</t>
  </si>
  <si>
    <t>Participants often arrive late to scheduled sessions</t>
  </si>
  <si>
    <t>Apply advertising research techniques to evaluate creative work and campaign performance.</t>
  </si>
  <si>
    <t>A researcher is conducting an animatic test for a new snack brand in the Philippines. To reduce social desirability bias, which technique should the moderator employ?</t>
  </si>
  <si>
    <t>Increase the honorarium amount given to participants</t>
  </si>
  <si>
    <t>Conduct the test entirely in English</t>
  </si>
  <si>
    <t>Limit the group to higher socioeconomic classes</t>
  </si>
  <si>
    <t>Use third-person questioning techniques</t>
  </si>
  <si>
    <t>In the Philippine digital environment, why might a marketer prefer view-through attribution over click-through rate as a primary effectiveness metric?</t>
  </si>
  <si>
    <t>Many Filipino users avoid clicking due to data costs</t>
  </si>
  <si>
    <t>View-through attribution is required by all digital platforms</t>
  </si>
  <si>
    <t>Click-through rates are always higher than view-through rates</t>
  </si>
  <si>
    <t>View-through attribution measures offline sales directly</t>
  </si>
  <si>
    <t>Which attribution model is described as the simplest but most misleading?</t>
  </si>
  <si>
    <t>Multi-touch attribution</t>
  </si>
  <si>
    <t>Last-click attribution</t>
  </si>
  <si>
    <t>First-click attribution</t>
  </si>
  <si>
    <t>Time-decay attribution</t>
  </si>
  <si>
    <t>Develop and deliver a professional advertising campaign pitch.</t>
  </si>
  <si>
    <t>When pitching to a family-owned Filipino brand, what is the recommended way to handle the 'Sige, pag-iisipan namin' response?</t>
  </si>
  <si>
    <t>Follow up respectfully after 3–5 business days</t>
  </si>
  <si>
    <t>Demand an immediate yes or no decision</t>
  </si>
  <si>
    <t>Offer a significant discount on agency fees</t>
  </si>
  <si>
    <t>Schedule a second pitch for the following week</t>
  </si>
  <si>
    <t>A researcher is measuring the sales lift of a new shampoo campaign in the Philippines. Why must the analysis include sari-sari store audits?</t>
  </si>
  <si>
    <t>Sari-sari stores only carry premium brands</t>
  </si>
  <si>
    <t>Sari-sari stores provide real-time digital sales data</t>
  </si>
  <si>
    <t>Sari-sari stores account for 60–70% of FMCG sales</t>
  </si>
  <si>
    <t>Sari-sari stores are owned by the advertising agency</t>
  </si>
  <si>
    <t>A brand manager wants to determine if a nearly finished TVC effectively communicates the brand message before airing. Which research method is most appropriate?</t>
  </si>
  <si>
    <t>Copy testing</t>
  </si>
  <si>
    <t>In the classic pitch structure, what should be presented immediately after 'The Insight'?</t>
  </si>
  <si>
    <t>The Challenge</t>
  </si>
  <si>
    <t>The Results</t>
  </si>
  <si>
    <t>The Execution</t>
  </si>
  <si>
    <t>The Big Idea</t>
  </si>
  <si>
    <t>In the programmatic advertising supply chain, which component is specifically responsible for managing and selling a publisher's available ad inventory to potential buyers?</t>
  </si>
  <si>
    <t>The Data Management Platform organizes audience data for targeting purposes</t>
  </si>
  <si>
    <t>The DSP manages advertiser buys and bids on relevant ad impressions</t>
  </si>
  <si>
    <t>The Ad Exchange facilitates the real-time marketplace for buying impressions</t>
  </si>
  <si>
    <t>The SSP manages publisher inventory and makes it available to buyers</t>
  </si>
  <si>
    <t>Why do walled gardens like Lazada and Shopee present a significant challenge for cross-platform attribution in the Philippine digital advertising landscape?</t>
  </si>
  <si>
    <t>They prohibit advertisers from using video or rich media formats</t>
  </si>
  <si>
    <t>They do not offer any form of digital advertising inventory for purchase</t>
  </si>
  <si>
    <t>They only serve ads to desktop users, ignoring mobile traffic data</t>
  </si>
  <si>
    <t>They restrict the portability of audience data across different platforms</t>
  </si>
  <si>
    <t>A Philippine D2C skincare brand invests heavily in paid social media advertisements directed at its blog. The blog's content is then widely shared by users on social media, generating significant organic buzz. This scenario best demonstrates which integration of the POEM framework?</t>
  </si>
  <si>
    <t>Owned media is optimized using earned insights to improve paid media efficiency</t>
  </si>
  <si>
    <t>Paid media drives traffic to owned media, which subsequently generates earned media</t>
  </si>
  <si>
    <t>Earned media provides brand validation that reduces the need for paid media</t>
  </si>
  <si>
    <t>Paid media directly converts into earned media without any owned media step</t>
  </si>
  <si>
    <t>A Philippine e-commerce retailer with high site traffic but low conversion rates needs to re-engage visitors who showed purchase intent but left the site. Which digital advertising strategy is specifically designed to address this behavioral segment?</t>
  </si>
  <si>
    <t>Create a broad top-of-funnel awareness campaign on Connected TV</t>
  </si>
  <si>
    <t>Run a sequential retargeting campaign tailored to the user's drop-off stage</t>
  </si>
  <si>
    <t>Partner with macro-influencers to generate general brand interest</t>
  </si>
  <si>
    <t>Optimize owned blog content for search engines to attract new visitors</t>
  </si>
  <si>
    <t>In a programmatic real-time bidding auction, when user data is sent to Demand-Side Platforms (DSPs), what is the DSP's primary immediate function before an ad can be served?</t>
  </si>
  <si>
    <t>To evaluate the impression data and compare it against the campaign's target criteria</t>
  </si>
  <si>
    <t>To verify the publisher has a valid SSL certificate and secure ad tags</t>
  </si>
  <si>
    <t>To calculate the historical cost-per-impression for the publisher's inventory</t>
  </si>
  <si>
    <t>To immediately accept the impression and send the highest possible bid</t>
  </si>
  <si>
    <t>A Philippine brand launches a successful TikTok Branded Hashtag Challenge, resulting in hundreds of thousands of user-generated videos. In the context of the POEM model, how are these user-generated videos primarily classified?</t>
  </si>
  <si>
    <t>Earned media, because users voluntarily created and shared the promotional content</t>
  </si>
  <si>
    <t>Paid media, because the brand funded the initial Hashtag Challenge campaign</t>
  </si>
  <si>
    <t>Owned media, because the videos are hosted on the brand's official TikTok page</t>
  </si>
  <si>
    <t>Paid media, because the brand owns the rights to all challenge hashtags</t>
  </si>
  <si>
    <t>What key feature of connected television’s addressability enabled Jollibee’s 2023 sequential storytelling campaign to achieve an 89% completion rate? How does this differ from linear television advertising?</t>
  </si>
  <si>
    <t>Broader reach compared to streaming platforms.</t>
  </si>
  <si>
    <t>Lower production costs for high-quality ads.</t>
  </si>
  <si>
    <t>Ability to air ads without frequency capping.</t>
  </si>
  <si>
    <t>Addressability allows serving different ads to different households.</t>
  </si>
  <si>
    <t>In the Philippine media landscape, where television reaches over 17 million households and digital channels deliver strong short-term returns, media mix modeling consistently identifies one medium as the most effective for building enduring long-term brand equity and loyalty among Filipino consumers. Which medium is it?</t>
  </si>
  <si>
    <t>Television is the best for long-term brand equity.</t>
  </si>
  <si>
    <t>Digital channels are strongest for short-term sales.</t>
  </si>
  <si>
    <t>Radio provides the greatest reach in rural areas.</t>
  </si>
  <si>
    <t>Out-of-home delivers high impact in urban zones.</t>
  </si>
  <si>
    <t>Media scheduling models determine how advertising weight is distributed over time. Continuity provides even weight, flighting concentrates weight in bursts, and pulsing adds extra weight to a continuous presence for brands with seasonal peaks. Which statement correctly characterizes the pulsing model?</t>
  </si>
  <si>
    <t>Alternating periods of heavy weight and complete absence.</t>
  </si>
  <si>
    <t>Even distribution of advertising weight throughout the year.</t>
  </si>
  <si>
    <t>Continuous low-level presence with added bursts during peaks.</t>
  </si>
  <si>
    <t>Heavy initial burst followed by gradual reduction to zero.</t>
  </si>
  <si>
    <t>A new ready-to-drink coffee brand is launching in Metro Manila with a limited budget and needs to establish brand awareness quickly against established competitors while avoiding long-term commitments. Which media scheduling model should it initially employ to achieve the most impact?</t>
  </si>
  <si>
    <t>Continuous low-level television and radio presence.</t>
  </si>
  <si>
    <t>Flighting with a heavy introductory media burst.</t>
  </si>
  <si>
    <t>Pulsing with increased weight during payday periods.</t>
  </si>
  <si>
    <t>Digital-only campaign to minimize advertising costs.</t>
  </si>
  <si>
    <t>In the Philippine e-commerce ecosystem, many brands use last-click attribution but find it undervalues their television and out-of-home investments, particularly when measuring online sales generated by these offline channels. Why does this attribution model often fail to give proper credit to these awareness channels?</t>
  </si>
  <si>
    <t>It cannot measure offline channels like television and OOH.</t>
  </si>
  <si>
    <t>It automatically favors search advertising over other channels.</t>
  </si>
  <si>
    <t>It works only inside platform-specific attribution systems.</t>
  </si>
  <si>
    <t>It credits the last digital touchpoint, ignoring awareness channels.</t>
  </si>
  <si>
    <t>A Filipino brand selling through both physical sari-sari stores and the Lazada marketplace wants to accurately measure its television commercials' impact on e-commerce conversions to optimize future media spending. Which attribution approach would best provide a fair assessment?</t>
  </si>
  <si>
    <t>Last-click attribution following standard industry practice.</t>
  </si>
  <si>
    <t>Lazada's internal attribution tracking on-platform conversions.</t>
  </si>
  <si>
    <t>Multi-touch attribution capturing all touchpoints in the journey.</t>
  </si>
  <si>
    <t>Brand lift study measuring offline campaign effectiveness.</t>
  </si>
  <si>
    <t>A new Philippine direct-to-consumer beauty brand lacks the budget for television advertising but wants an integrated campaign across digital touchpoints to drive growth and compete effectively. Which strategic approach should it prioritize to create a cohesive consumer experience?</t>
  </si>
  <si>
    <t>Digital-first integration using an e-commerce advertising ecosystem.</t>
  </si>
  <si>
    <t>Heavy out-of-home investment in university areas.</t>
  </si>
  <si>
    <t>Exclusive use of social media influencer collaborations.</t>
  </si>
  <si>
    <t>Partnership with radio networks for mass affordability.</t>
  </si>
  <si>
    <t>Apply creative thinking techniques (brainstorming, lateral thinking, SCAMPER) to advertising ideation.</t>
  </si>
  <si>
    <t>A creative team developing ads for a new local coffee brand asks, 'What if we substitute the instant creamer with a real milk packet and sugar with muscovado?' Which SCAMPER prompt does this question best represent?</t>
  </si>
  <si>
    <t>Combine two unrelated product categories into one</t>
  </si>
  <si>
    <t>Modify the product's existing form or shape</t>
  </si>
  <si>
    <t>Adapt the product for an entirely new purpose</t>
  </si>
  <si>
    <t>Substitute a key ingredient with an alternative</t>
  </si>
  <si>
    <t>Differentiate between creative strategies: USP, brand image, resonance, emotional, and transformational advertising.</t>
  </si>
  <si>
    <t>How does Transformational Advertising fundamentally differ from an Emotional Strategy in creating long-term consumer associations with a brand?</t>
  </si>
  <si>
    <t>Transformational uses celebrities, while emotional uses ordinary people</t>
  </si>
  <si>
    <t>Transformational changes experience, while emotional links brand to feeling</t>
  </si>
  <si>
    <t>Transformational focuses on features, while emotional focuses on lifestyle</t>
  </si>
  <si>
    <t>Transformational is for TV, while emotional strategy uses social media</t>
  </si>
  <si>
    <t>Explain the creative strategy process — from consumer insight to creative platform to big idea.</t>
  </si>
  <si>
    <t>Which dimension of a standard advertising idea evaluation framework specifically checks if the idea faithfully executes the creative platform?</t>
  </si>
  <si>
    <t>Strategic Alignment checks execution of the platform</t>
  </si>
  <si>
    <t>Originality refers to how fresh and novel the idea is</t>
  </si>
  <si>
    <t>Impact evaluates if the idea will break through clutter</t>
  </si>
  <si>
    <t>Sustainability tests if the idea can last for years</t>
  </si>
  <si>
    <t>In the context of the creative strategy process, what is the primary distinction between a consumer insight and a creative platform?</t>
  </si>
  <si>
    <t>An insight reveals a tension, while a platform defines media channels</t>
  </si>
  <si>
    <t>An insight belongs to planners, while a platform belongs to clients</t>
  </si>
  <si>
    <t>An insight analyzes competitors, while a platform dictates budget</t>
  </si>
  <si>
    <t>An insight reveals a truth, while a platform defines strategic territory</t>
  </si>
  <si>
    <t>In the McDonald's 'Extra Rice' campaign, the creative team magnified the role of rice to an absurd degree. What key factor primarily made this a successful Big Idea?</t>
  </si>
  <si>
    <t>The campaign was very entertaining and quickly went viral</t>
  </si>
  <si>
    <t>It resonated with the real Filipino behavior of kanin addiction</t>
  </si>
  <si>
    <t>It highlighted a rice shortage making the ads highly relevant</t>
  </si>
  <si>
    <t>The reduced patty size made the promotion more profitable</t>
  </si>
  <si>
    <t>A new Philippine skincare brand has a patent-protected ingredient that competitors completely lack. Considering standard strategy selection, what is the most suitable initial creative approach?</t>
  </si>
  <si>
    <t>Brand image strategy to build a symbolic personality quickly</t>
  </si>
  <si>
    <t>Resonance strategy tapping into cultural value of family</t>
  </si>
  <si>
    <t>USP strategy highlighting the unique functional benefit</t>
  </si>
  <si>
    <t>Transformational strategy about the feeling of confidence</t>
  </si>
  <si>
    <t>A freelance copywriter is contracted to write a radio commercial for a local grocery chain. The slot is exactly 30 seconds. To ensure the script fits the allocated time, what target word count should the writer strictly follow?</t>
  </si>
  <si>
    <t>Approximately 100 to 120 words</t>
  </si>
  <si>
    <t>Roughly 65 to 80 words</t>
  </si>
  <si>
    <t>Approximately 40 to 60 words</t>
  </si>
  <si>
    <t>Exactly 80 to 100 words</t>
  </si>
  <si>
    <t>In the competitive landscape of Philippine radio, advertisers often employ the lengthy 'P-R-O-D-U-C-T-O' spelling technique. What specific characteristic of the market makes this cumbersome practice a logical necessity?</t>
  </si>
  <si>
    <t>It satisfies a legal mandate for broadcast media identification</t>
  </si>
  <si>
    <t>It is the most inexpensive format for radio advertising production</t>
  </si>
  <si>
    <t>It ensures brand recall among many phonetically similar products</t>
  </si>
  <si>
    <t>It specifically appeals to the English-proficient upper market</t>
  </si>
  <si>
    <t>A heritage Filipino brand decides to use a playful 'conyo' tone of voice across its TikTok content to connect with an urban, younger audience. A senior copywriter reviewing this strategy must specifically warn against the risk of what?</t>
  </si>
  <si>
    <t>Mass-market and provincial consumers who do not relate to it</t>
  </si>
  <si>
    <t>Urban teenagers who prefer English-only content</t>
  </si>
  <si>
    <t>Foreign investors looking for formal corporate communication</t>
  </si>
  <si>
    <t>Creative directors who prioritize visual storytelling</t>
  </si>
  <si>
    <t>In the foundational concepts of art direction discussed, the art director partners with the copywriter. Within a typical advertising agency structure, what specific core team do these two roles primarily form together?</t>
  </si>
  <si>
    <t>The production management team</t>
  </si>
  <si>
    <t>The account planning team</t>
  </si>
  <si>
    <t>The agency's creative team</t>
  </si>
  <si>
    <t>The media buying team</t>
  </si>
  <si>
    <t>An art director is designing a mass-market print ad, similar to the Bear Brand example, and wants the emotional hook seen first, the rational message second, and the brand logo seen last. Where in the layout should the emotional hook be placed to correctly execute this visual hierarchy?</t>
  </si>
  <si>
    <t>In the upper center area of the layout</t>
  </si>
  <si>
    <t>In the lower right corner of the layout</t>
  </si>
  <si>
    <t>Dispersed evenly across the white space</t>
  </si>
  <si>
    <t>Directly overlapping the main product logo</t>
  </si>
  <si>
    <t>Analyzing the well-documented success of the Jollibee brand's visual identity in the Philippines, what is the primary psychological and cultural reason that the consistently applied red and yellow color palette is so strategically effective across every single one of their brand touchpoints and campaigns?</t>
  </si>
  <si>
    <t>Red and yellow colors are universally loved worldwide</t>
  </si>
  <si>
    <t>Red triggers appetite and yellow signals family joy</t>
  </si>
  <si>
    <t>The palette reduces overall production costs significantly</t>
  </si>
  <si>
    <t>The palette mimics the packaging of key competitors</t>
  </si>
  <si>
    <t>In Philippine radio commercial production, what is the typical amount of studio time required to record a 30-second advertisement?</t>
  </si>
  <si>
    <t>30 to 45 minutes</t>
  </si>
  <si>
    <t>15 to 20 minutes</t>
  </si>
  <si>
    <t>1 to 2 hours</t>
  </si>
  <si>
    <t>3 to 4 hours</t>
  </si>
  <si>
    <t>Why is the pre-production phase considered the most critical in television commercial production?</t>
  </si>
  <si>
    <t>It consumes the largest portion of the budget</t>
  </si>
  <si>
    <t>Problems are cheaper to fix than during the shoot</t>
  </si>
  <si>
    <t>It includes the final editing and color grading</t>
  </si>
  <si>
    <t>It determines the selection of the director</t>
  </si>
  <si>
    <t>In the context of Philippine television commercial production, which pre-production step is especially important when filming in a public market?</t>
  </si>
  <si>
    <t>Sending the creative team overseas for inspiration</t>
  </si>
  <si>
    <t>Booking a studio for indoor reshoots</t>
  </si>
  <si>
    <t>Securing necessary location permits</t>
  </si>
  <si>
    <t>Hiring a foreign cinematographer</t>
  </si>
  <si>
    <t>In Philippine advertising, what implicit message is conveyed when a beauty commercial casts a morena actress instead of a mestiza one?</t>
  </si>
  <si>
    <t>The product targets an older demographic</t>
  </si>
  <si>
    <t>The production had a limited budget</t>
  </si>
  <si>
    <t>The commercial is only for provincial airing</t>
  </si>
  <si>
    <t>The brand aligns with local beauty ideals</t>
  </si>
  <si>
    <t>A Philippine start-up wants to produce an augmented reality filter for Instagram. Which production capability is most essential?</t>
  </si>
  <si>
    <t>Expertise in print layout design</t>
  </si>
  <si>
    <t>Radio jingle composition</t>
  </si>
  <si>
    <t>3D modeling and face tracking skills</t>
  </si>
  <si>
    <t>Television scriptwriting</t>
  </si>
  <si>
    <t>During major e-commerce sale events, what does the 'mabilisang content' approach emphasize?</t>
  </si>
  <si>
    <t>Speed and volume over perfection</t>
  </si>
  <si>
    <t>High production value and cinematic quality</t>
  </si>
  <si>
    <t>Extensive pre-production planning</t>
  </si>
  <si>
    <t>Exclusive use of traditional media</t>
  </si>
  <si>
    <t>In the standard advertising research framework, what are the three fundamental reasons given for why advertising effectiveness must be carefully and consistently measured?</t>
  </si>
  <si>
    <t>Awareness, Recall, and Purchase Intent</t>
  </si>
  <si>
    <t>Reach, Frequency, and Impact</t>
  </si>
  <si>
    <t>Accountability, Learning, and Optimization</t>
  </si>
  <si>
    <t>Strategy, Creativity, and Production</t>
  </si>
  <si>
    <t>In the specific cultural context of Philippine advertising pre-testing research, why do skilled moderators employ third-person questioning techniques during focus groups conducted in Taglish?</t>
  </si>
  <si>
    <t>To accurately translate local language responses for the client</t>
  </si>
  <si>
    <t>To make the group discussion run much faster than standard methods</t>
  </si>
  <si>
    <t>To maintain strict discussion within specific socioeconomic groups</t>
  </si>
  <si>
    <t>To bypass cultural reluctance to give direct negative feedback</t>
  </si>
  <si>
    <t>A Philippine brand's digital campaign achieves a very low click-through rate but a significantly strong brand lift result in platform studies. What local factor best explains this specific discrepancy?</t>
  </si>
  <si>
    <t>The creative execution lacks the visual appeal needed to drive clicks</t>
  </si>
  <si>
    <t>The campaign was targeting the wrong demographic segment entirely</t>
  </si>
  <si>
    <t>Brand lift studies do not work for campaigns with low click-through rates</t>
  </si>
  <si>
    <t>Consumers fully view ads but avoid clicking to conserve mobile data</t>
  </si>
  <si>
    <t>In analyzing the sales lift of a Philippine FMCG campaign, why is the conclusion incomplete without incorporating dedicated sari-sari store auditing alongside standard modern trade data?</t>
  </si>
  <si>
    <t>Modern trade data is unavailable for most locally manufactured products</t>
  </si>
  <si>
    <t>Sari-sari stores maintain better electronic transaction records</t>
  </si>
  <si>
    <t>The sari-sari store channel accounts for the majority of FMCG sales</t>
  </si>
  <si>
    <t>Brand lift studies are required to be conducted exclusively in stores</t>
  </si>
  <si>
    <t>How does the prevalence of data poverty among Filipino consumers specifically challenge the standard interpretation of click-through rate as the primary metric for digital ad effectiveness?</t>
  </si>
  <si>
    <t>It prevents brands from tracking any online consumer behavior</t>
  </si>
  <si>
    <t>It prevents clicking as viewers save mobile data instead</t>
  </si>
  <si>
    <t>It only affects analysis for video ads on social media platforms</t>
  </si>
  <si>
    <t>It forces brands to rely solely on last-click attribution models</t>
  </si>
  <si>
    <t>Timer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</si>
</sst>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1"/>
  <sheetViews>
    <sheetView tabSelected="1" workbookViewId="0">
      <selection activeCell="R6" sqref="R6"/>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557</v>
      </c>
    </row>
    <row r="2" spans="1:21" x14ac:dyDescent="0.3">
      <c r="C2" t="s">
        <v>14</v>
      </c>
      <c r="D2" t="s">
        <v>15</v>
      </c>
      <c r="E2" t="s">
        <v>16</v>
      </c>
      <c r="F2" t="s">
        <v>17</v>
      </c>
      <c r="G2" t="s">
        <v>18</v>
      </c>
      <c r="H2" t="s">
        <v>19</v>
      </c>
      <c r="I2" t="s">
        <v>20</v>
      </c>
      <c r="J2" t="s">
        <v>21</v>
      </c>
      <c r="K2" t="s">
        <v>22</v>
      </c>
      <c r="L2" t="s">
        <v>23</v>
      </c>
      <c r="M2" t="s">
        <v>24</v>
      </c>
      <c r="N2" t="s">
        <v>22</v>
      </c>
      <c r="O2">
        <f>ROUND(SUM(Q2:U2)*1.3,0)</f>
        <v>31</v>
      </c>
      <c r="Q2">
        <f>LEN(TRIM(F2))-LEN(SUBSTITUTE(TRIM(F2)," ",""))+1</f>
        <v>16</v>
      </c>
      <c r="R2">
        <f>LEN(TRIM(I2))-LEN(SUBSTITUTE(TRIM(I2)," ",""))+1</f>
        <v>2</v>
      </c>
      <c r="S2">
        <f>LEN(TRIM(J2))-LEN(SUBSTITUTE(TRIM(J2)," ",""))+1</f>
        <v>2</v>
      </c>
      <c r="T2">
        <f>LEN(TRIM(K2))-LEN(SUBSTITUTE(TRIM(K2)," ",""))+1</f>
        <v>2</v>
      </c>
      <c r="U2">
        <f>LEN(TRIM(L2))-LEN(SUBSTITUTE(TRIM(L2)," ",""))+1</f>
        <v>2</v>
      </c>
    </row>
    <row r="3" spans="1:21" x14ac:dyDescent="0.3">
      <c r="C3" t="s">
        <v>14</v>
      </c>
      <c r="D3" t="s">
        <v>25</v>
      </c>
      <c r="E3" t="s">
        <v>16</v>
      </c>
      <c r="F3" t="s">
        <v>26</v>
      </c>
      <c r="G3" t="s">
        <v>18</v>
      </c>
      <c r="H3" t="s">
        <v>27</v>
      </c>
      <c r="I3" t="s">
        <v>28</v>
      </c>
      <c r="J3" t="s">
        <v>29</v>
      </c>
      <c r="K3" t="s">
        <v>30</v>
      </c>
      <c r="L3" t="s">
        <v>31</v>
      </c>
      <c r="M3" t="s">
        <v>32</v>
      </c>
      <c r="N3" t="s">
        <v>29</v>
      </c>
      <c r="O3">
        <f t="shared" ref="O3:O66" si="0">ROUND(SUM(Q3:U3)*1.3,0)</f>
        <v>34</v>
      </c>
      <c r="Q3">
        <f t="shared" ref="Q3:Q66" si="1">LEN(TRIM(F3))-LEN(SUBSTITUTE(TRIM(F3)," ",""))+1</f>
        <v>18</v>
      </c>
      <c r="R3">
        <f t="shared" ref="R3:R66" si="2">LEN(TRIM(I3))-LEN(SUBSTITUTE(TRIM(I3)," ",""))+1</f>
        <v>2</v>
      </c>
      <c r="S3">
        <f t="shared" ref="S3:S66" si="3">LEN(TRIM(J3))-LEN(SUBSTITUTE(TRIM(J3)," ",""))+1</f>
        <v>2</v>
      </c>
      <c r="T3">
        <f t="shared" ref="T3:T66" si="4">LEN(TRIM(K3))-LEN(SUBSTITUTE(TRIM(K3)," ",""))+1</f>
        <v>2</v>
      </c>
      <c r="U3">
        <f t="shared" ref="U3:U66" si="5">LEN(TRIM(L3))-LEN(SUBSTITUTE(TRIM(L3)," ",""))+1</f>
        <v>2</v>
      </c>
    </row>
    <row r="4" spans="1:21" x14ac:dyDescent="0.3">
      <c r="C4" t="s">
        <v>14</v>
      </c>
      <c r="D4" t="s">
        <v>33</v>
      </c>
      <c r="E4" t="s">
        <v>16</v>
      </c>
      <c r="F4" t="s">
        <v>34</v>
      </c>
      <c r="G4" t="s">
        <v>18</v>
      </c>
      <c r="H4" t="s">
        <v>35</v>
      </c>
      <c r="I4" t="s">
        <v>36</v>
      </c>
      <c r="J4" t="s">
        <v>37</v>
      </c>
      <c r="K4" t="s">
        <v>38</v>
      </c>
      <c r="L4" t="s">
        <v>39</v>
      </c>
      <c r="M4" t="s">
        <v>24</v>
      </c>
      <c r="N4" t="s">
        <v>38</v>
      </c>
      <c r="O4">
        <f t="shared" si="0"/>
        <v>42</v>
      </c>
      <c r="Q4">
        <f t="shared" si="1"/>
        <v>22</v>
      </c>
      <c r="R4">
        <f t="shared" si="2"/>
        <v>3</v>
      </c>
      <c r="S4">
        <f t="shared" si="3"/>
        <v>2</v>
      </c>
      <c r="T4">
        <f t="shared" si="4"/>
        <v>3</v>
      </c>
      <c r="U4">
        <f t="shared" si="5"/>
        <v>2</v>
      </c>
    </row>
    <row r="5" spans="1:21" x14ac:dyDescent="0.3">
      <c r="C5" t="s">
        <v>14</v>
      </c>
      <c r="D5" t="s">
        <v>15</v>
      </c>
      <c r="E5" t="s">
        <v>16</v>
      </c>
      <c r="F5" t="s">
        <v>40</v>
      </c>
      <c r="G5" t="s">
        <v>18</v>
      </c>
      <c r="H5" t="s">
        <v>41</v>
      </c>
      <c r="I5" t="s">
        <v>42</v>
      </c>
      <c r="J5" t="s">
        <v>43</v>
      </c>
      <c r="K5" t="s">
        <v>44</v>
      </c>
      <c r="L5" t="s">
        <v>45</v>
      </c>
      <c r="M5" t="s">
        <v>46</v>
      </c>
      <c r="N5" t="s">
        <v>45</v>
      </c>
      <c r="O5">
        <f t="shared" si="0"/>
        <v>43</v>
      </c>
      <c r="Q5">
        <f t="shared" si="1"/>
        <v>10</v>
      </c>
      <c r="R5">
        <f t="shared" si="2"/>
        <v>5</v>
      </c>
      <c r="S5">
        <f t="shared" si="3"/>
        <v>6</v>
      </c>
      <c r="T5">
        <f t="shared" si="4"/>
        <v>6</v>
      </c>
      <c r="U5">
        <f t="shared" si="5"/>
        <v>6</v>
      </c>
    </row>
    <row r="6" spans="1:21" x14ac:dyDescent="0.3">
      <c r="C6" t="s">
        <v>14</v>
      </c>
      <c r="D6" t="s">
        <v>33</v>
      </c>
      <c r="E6" t="s">
        <v>16</v>
      </c>
      <c r="F6" t="s">
        <v>47</v>
      </c>
      <c r="G6" t="s">
        <v>18</v>
      </c>
      <c r="H6" t="s">
        <v>27</v>
      </c>
      <c r="I6" t="s">
        <v>48</v>
      </c>
      <c r="J6" t="s">
        <v>49</v>
      </c>
      <c r="K6" t="s">
        <v>50</v>
      </c>
      <c r="L6" t="s">
        <v>51</v>
      </c>
      <c r="M6" t="s">
        <v>52</v>
      </c>
      <c r="N6" t="s">
        <v>48</v>
      </c>
      <c r="O6">
        <f t="shared" si="0"/>
        <v>53</v>
      </c>
      <c r="Q6">
        <f t="shared" si="1"/>
        <v>12</v>
      </c>
      <c r="R6">
        <f t="shared" si="2"/>
        <v>9</v>
      </c>
      <c r="S6">
        <f t="shared" si="3"/>
        <v>6</v>
      </c>
      <c r="T6">
        <f t="shared" si="4"/>
        <v>8</v>
      </c>
      <c r="U6">
        <f t="shared" si="5"/>
        <v>6</v>
      </c>
    </row>
    <row r="7" spans="1:21" x14ac:dyDescent="0.3">
      <c r="C7" t="s">
        <v>14</v>
      </c>
      <c r="D7" t="s">
        <v>33</v>
      </c>
      <c r="E7" t="s">
        <v>16</v>
      </c>
      <c r="F7" t="s">
        <v>53</v>
      </c>
      <c r="G7" t="s">
        <v>18</v>
      </c>
      <c r="H7" t="s">
        <v>35</v>
      </c>
      <c r="I7" t="s">
        <v>54</v>
      </c>
      <c r="J7" t="s">
        <v>55</v>
      </c>
      <c r="K7" t="s">
        <v>56</v>
      </c>
      <c r="L7" t="s">
        <v>57</v>
      </c>
      <c r="M7" t="s">
        <v>32</v>
      </c>
      <c r="N7" t="s">
        <v>55</v>
      </c>
      <c r="O7">
        <f t="shared" si="0"/>
        <v>38</v>
      </c>
      <c r="Q7">
        <f t="shared" si="1"/>
        <v>20</v>
      </c>
      <c r="R7">
        <f t="shared" si="2"/>
        <v>2</v>
      </c>
      <c r="S7">
        <f t="shared" si="3"/>
        <v>3</v>
      </c>
      <c r="T7">
        <f t="shared" si="4"/>
        <v>2</v>
      </c>
      <c r="U7">
        <f t="shared" si="5"/>
        <v>2</v>
      </c>
    </row>
    <row r="8" spans="1:21" x14ac:dyDescent="0.3">
      <c r="C8" t="s">
        <v>14</v>
      </c>
      <c r="D8" t="s">
        <v>25</v>
      </c>
      <c r="E8" t="s">
        <v>16</v>
      </c>
      <c r="F8" t="s">
        <v>58</v>
      </c>
      <c r="G8" t="s">
        <v>18</v>
      </c>
      <c r="H8" t="s">
        <v>41</v>
      </c>
      <c r="I8" t="s">
        <v>59</v>
      </c>
      <c r="J8" t="s">
        <v>60</v>
      </c>
      <c r="K8" t="s">
        <v>61</v>
      </c>
      <c r="L8" t="s">
        <v>62</v>
      </c>
      <c r="M8" t="s">
        <v>52</v>
      </c>
      <c r="N8" t="s">
        <v>59</v>
      </c>
      <c r="O8">
        <f t="shared" si="0"/>
        <v>52</v>
      </c>
      <c r="Q8">
        <f t="shared" si="1"/>
        <v>17</v>
      </c>
      <c r="R8">
        <f t="shared" si="2"/>
        <v>7</v>
      </c>
      <c r="S8">
        <f t="shared" si="3"/>
        <v>7</v>
      </c>
      <c r="T8">
        <f t="shared" si="4"/>
        <v>4</v>
      </c>
      <c r="U8">
        <f t="shared" si="5"/>
        <v>5</v>
      </c>
    </row>
    <row r="9" spans="1:21" x14ac:dyDescent="0.3">
      <c r="C9" t="s">
        <v>14</v>
      </c>
      <c r="D9" t="s">
        <v>15</v>
      </c>
      <c r="E9" t="s">
        <v>16</v>
      </c>
      <c r="F9" t="s">
        <v>63</v>
      </c>
      <c r="G9" t="s">
        <v>18</v>
      </c>
      <c r="H9" t="s">
        <v>27</v>
      </c>
      <c r="I9" t="s">
        <v>64</v>
      </c>
      <c r="J9" t="s">
        <v>65</v>
      </c>
      <c r="K9" t="s">
        <v>66</v>
      </c>
      <c r="L9" t="s">
        <v>67</v>
      </c>
      <c r="M9" t="s">
        <v>46</v>
      </c>
      <c r="N9" t="s">
        <v>67</v>
      </c>
      <c r="O9">
        <f t="shared" si="0"/>
        <v>49</v>
      </c>
      <c r="Q9">
        <f t="shared" si="1"/>
        <v>13</v>
      </c>
      <c r="R9">
        <f t="shared" si="2"/>
        <v>8</v>
      </c>
      <c r="S9">
        <f t="shared" si="3"/>
        <v>4</v>
      </c>
      <c r="T9">
        <f t="shared" si="4"/>
        <v>6</v>
      </c>
      <c r="U9">
        <f t="shared" si="5"/>
        <v>7</v>
      </c>
    </row>
    <row r="10" spans="1:21" x14ac:dyDescent="0.3">
      <c r="C10" t="s">
        <v>14</v>
      </c>
      <c r="D10" t="s">
        <v>68</v>
      </c>
      <c r="E10" t="s">
        <v>69</v>
      </c>
      <c r="F10" t="s">
        <v>70</v>
      </c>
      <c r="G10" t="s">
        <v>18</v>
      </c>
      <c r="H10" t="s">
        <v>19</v>
      </c>
      <c r="I10" t="s">
        <v>71</v>
      </c>
      <c r="J10" t="s">
        <v>72</v>
      </c>
      <c r="K10" t="s">
        <v>73</v>
      </c>
      <c r="L10" t="s">
        <v>74</v>
      </c>
      <c r="M10" t="s">
        <v>24</v>
      </c>
      <c r="N10" t="s">
        <v>73</v>
      </c>
      <c r="O10">
        <f t="shared" si="0"/>
        <v>52</v>
      </c>
      <c r="Q10">
        <f t="shared" si="1"/>
        <v>15</v>
      </c>
      <c r="R10">
        <f t="shared" si="2"/>
        <v>6</v>
      </c>
      <c r="S10">
        <f t="shared" si="3"/>
        <v>7</v>
      </c>
      <c r="T10">
        <f t="shared" si="4"/>
        <v>6</v>
      </c>
      <c r="U10">
        <f t="shared" si="5"/>
        <v>6</v>
      </c>
    </row>
    <row r="11" spans="1:21" x14ac:dyDescent="0.3">
      <c r="C11" t="s">
        <v>14</v>
      </c>
      <c r="D11" t="s">
        <v>68</v>
      </c>
      <c r="E11" t="s">
        <v>69</v>
      </c>
      <c r="F11" t="s">
        <v>75</v>
      </c>
      <c r="G11" t="s">
        <v>18</v>
      </c>
      <c r="H11" t="s">
        <v>27</v>
      </c>
      <c r="I11" t="s">
        <v>76</v>
      </c>
      <c r="J11" t="s">
        <v>77</v>
      </c>
      <c r="K11" t="s">
        <v>78</v>
      </c>
      <c r="L11" t="s">
        <v>79</v>
      </c>
      <c r="M11" t="s">
        <v>24</v>
      </c>
      <c r="N11" t="s">
        <v>78</v>
      </c>
      <c r="O11">
        <f t="shared" si="0"/>
        <v>51</v>
      </c>
      <c r="Q11">
        <f t="shared" si="1"/>
        <v>12</v>
      </c>
      <c r="R11">
        <f t="shared" si="2"/>
        <v>6</v>
      </c>
      <c r="S11">
        <f t="shared" si="3"/>
        <v>7</v>
      </c>
      <c r="T11">
        <f t="shared" si="4"/>
        <v>7</v>
      </c>
      <c r="U11">
        <f t="shared" si="5"/>
        <v>7</v>
      </c>
    </row>
    <row r="12" spans="1:21" x14ac:dyDescent="0.3">
      <c r="C12" t="s">
        <v>14</v>
      </c>
      <c r="D12" t="s">
        <v>80</v>
      </c>
      <c r="E12" t="s">
        <v>69</v>
      </c>
      <c r="F12" t="s">
        <v>81</v>
      </c>
      <c r="G12" t="s">
        <v>18</v>
      </c>
      <c r="H12" t="s">
        <v>41</v>
      </c>
      <c r="I12" t="s">
        <v>82</v>
      </c>
      <c r="J12" t="s">
        <v>83</v>
      </c>
      <c r="K12" t="s">
        <v>84</v>
      </c>
      <c r="L12" t="s">
        <v>85</v>
      </c>
      <c r="M12" t="s">
        <v>46</v>
      </c>
      <c r="N12" t="s">
        <v>85</v>
      </c>
      <c r="O12">
        <f t="shared" si="0"/>
        <v>52</v>
      </c>
      <c r="Q12">
        <f t="shared" si="1"/>
        <v>13</v>
      </c>
      <c r="R12">
        <f t="shared" si="2"/>
        <v>7</v>
      </c>
      <c r="S12">
        <f t="shared" si="3"/>
        <v>7</v>
      </c>
      <c r="T12">
        <f t="shared" si="4"/>
        <v>7</v>
      </c>
      <c r="U12">
        <f t="shared" si="5"/>
        <v>6</v>
      </c>
    </row>
    <row r="13" spans="1:21" x14ac:dyDescent="0.3">
      <c r="C13" t="s">
        <v>14</v>
      </c>
      <c r="D13" t="s">
        <v>86</v>
      </c>
      <c r="E13" t="s">
        <v>69</v>
      </c>
      <c r="F13" t="s">
        <v>87</v>
      </c>
      <c r="G13" t="s">
        <v>18</v>
      </c>
      <c r="H13" t="s">
        <v>88</v>
      </c>
      <c r="I13" t="s">
        <v>89</v>
      </c>
      <c r="J13" t="s">
        <v>90</v>
      </c>
      <c r="K13" t="s">
        <v>91</v>
      </c>
      <c r="L13" t="s">
        <v>92</v>
      </c>
      <c r="M13" t="s">
        <v>32</v>
      </c>
      <c r="N13" t="s">
        <v>90</v>
      </c>
      <c r="O13">
        <f t="shared" si="0"/>
        <v>66</v>
      </c>
      <c r="Q13">
        <f t="shared" si="1"/>
        <v>19</v>
      </c>
      <c r="R13">
        <f t="shared" si="2"/>
        <v>7</v>
      </c>
      <c r="S13">
        <f t="shared" si="3"/>
        <v>8</v>
      </c>
      <c r="T13">
        <f t="shared" si="4"/>
        <v>7</v>
      </c>
      <c r="U13">
        <f t="shared" si="5"/>
        <v>10</v>
      </c>
    </row>
    <row r="14" spans="1:21" x14ac:dyDescent="0.3">
      <c r="C14" t="s">
        <v>14</v>
      </c>
      <c r="D14" t="s">
        <v>68</v>
      </c>
      <c r="E14" t="s">
        <v>69</v>
      </c>
      <c r="F14" t="s">
        <v>93</v>
      </c>
      <c r="G14" t="s">
        <v>18</v>
      </c>
      <c r="H14" t="s">
        <v>19</v>
      </c>
      <c r="I14" t="s">
        <v>94</v>
      </c>
      <c r="J14" t="s">
        <v>95</v>
      </c>
      <c r="K14" t="s">
        <v>96</v>
      </c>
      <c r="L14" t="s">
        <v>97</v>
      </c>
      <c r="M14" t="s">
        <v>52</v>
      </c>
      <c r="N14" t="s">
        <v>94</v>
      </c>
      <c r="O14">
        <f t="shared" si="0"/>
        <v>49</v>
      </c>
      <c r="Q14">
        <f t="shared" si="1"/>
        <v>10</v>
      </c>
      <c r="R14">
        <f t="shared" si="2"/>
        <v>9</v>
      </c>
      <c r="S14">
        <f t="shared" si="3"/>
        <v>7</v>
      </c>
      <c r="T14">
        <f t="shared" si="4"/>
        <v>6</v>
      </c>
      <c r="U14">
        <f t="shared" si="5"/>
        <v>6</v>
      </c>
    </row>
    <row r="15" spans="1:21" x14ac:dyDescent="0.3">
      <c r="C15" t="s">
        <v>14</v>
      </c>
      <c r="D15" t="s">
        <v>80</v>
      </c>
      <c r="E15" t="s">
        <v>69</v>
      </c>
      <c r="F15" t="s">
        <v>98</v>
      </c>
      <c r="G15" t="s">
        <v>18</v>
      </c>
      <c r="H15" t="s">
        <v>27</v>
      </c>
      <c r="I15" t="s">
        <v>99</v>
      </c>
      <c r="J15" t="s">
        <v>100</v>
      </c>
      <c r="K15" t="s">
        <v>101</v>
      </c>
      <c r="L15" t="s">
        <v>102</v>
      </c>
      <c r="M15" t="s">
        <v>24</v>
      </c>
      <c r="N15" t="s">
        <v>101</v>
      </c>
      <c r="O15">
        <f t="shared" si="0"/>
        <v>57</v>
      </c>
      <c r="Q15">
        <f t="shared" si="1"/>
        <v>17</v>
      </c>
      <c r="R15">
        <f t="shared" si="2"/>
        <v>6</v>
      </c>
      <c r="S15">
        <f t="shared" si="3"/>
        <v>7</v>
      </c>
      <c r="T15">
        <f t="shared" si="4"/>
        <v>6</v>
      </c>
      <c r="U15">
        <f t="shared" si="5"/>
        <v>8</v>
      </c>
    </row>
    <row r="16" spans="1:21" x14ac:dyDescent="0.3">
      <c r="C16" t="s">
        <v>14</v>
      </c>
      <c r="D16" t="s">
        <v>68</v>
      </c>
      <c r="E16" t="s">
        <v>69</v>
      </c>
      <c r="F16" t="s">
        <v>103</v>
      </c>
      <c r="G16" t="s">
        <v>18</v>
      </c>
      <c r="H16" t="s">
        <v>41</v>
      </c>
      <c r="I16" t="s">
        <v>104</v>
      </c>
      <c r="J16" t="s">
        <v>105</v>
      </c>
      <c r="K16" t="s">
        <v>106</v>
      </c>
      <c r="L16" t="s">
        <v>107</v>
      </c>
      <c r="M16" t="s">
        <v>52</v>
      </c>
      <c r="N16" t="s">
        <v>104</v>
      </c>
      <c r="O16">
        <f t="shared" si="0"/>
        <v>55</v>
      </c>
      <c r="Q16">
        <f t="shared" si="1"/>
        <v>15</v>
      </c>
      <c r="R16">
        <f t="shared" si="2"/>
        <v>8</v>
      </c>
      <c r="S16">
        <f t="shared" si="3"/>
        <v>6</v>
      </c>
      <c r="T16">
        <f t="shared" si="4"/>
        <v>6</v>
      </c>
      <c r="U16">
        <f t="shared" si="5"/>
        <v>7</v>
      </c>
    </row>
    <row r="17" spans="3:21" x14ac:dyDescent="0.3">
      <c r="C17" t="s">
        <v>14</v>
      </c>
      <c r="D17" t="s">
        <v>108</v>
      </c>
      <c r="E17" t="s">
        <v>109</v>
      </c>
      <c r="F17" t="s">
        <v>110</v>
      </c>
      <c r="G17" t="s">
        <v>18</v>
      </c>
      <c r="H17" t="s">
        <v>19</v>
      </c>
      <c r="I17" t="s">
        <v>111</v>
      </c>
      <c r="J17" t="s">
        <v>112</v>
      </c>
      <c r="K17" t="s">
        <v>113</v>
      </c>
      <c r="L17" t="s">
        <v>114</v>
      </c>
      <c r="M17" t="s">
        <v>24</v>
      </c>
      <c r="N17" t="s">
        <v>113</v>
      </c>
      <c r="O17">
        <f t="shared" si="0"/>
        <v>29</v>
      </c>
      <c r="Q17">
        <f t="shared" si="1"/>
        <v>14</v>
      </c>
      <c r="R17">
        <f t="shared" si="2"/>
        <v>2</v>
      </c>
      <c r="S17">
        <f t="shared" si="3"/>
        <v>2</v>
      </c>
      <c r="T17">
        <f t="shared" si="4"/>
        <v>2</v>
      </c>
      <c r="U17">
        <f t="shared" si="5"/>
        <v>2</v>
      </c>
    </row>
    <row r="18" spans="3:21" x14ac:dyDescent="0.3">
      <c r="C18" t="s">
        <v>14</v>
      </c>
      <c r="D18" t="s">
        <v>115</v>
      </c>
      <c r="E18" t="s">
        <v>109</v>
      </c>
      <c r="F18" t="s">
        <v>116</v>
      </c>
      <c r="G18" t="s">
        <v>18</v>
      </c>
      <c r="H18" t="s">
        <v>27</v>
      </c>
      <c r="I18" t="s">
        <v>117</v>
      </c>
      <c r="J18" t="s">
        <v>118</v>
      </c>
      <c r="K18" t="s">
        <v>119</v>
      </c>
      <c r="L18" t="s">
        <v>120</v>
      </c>
      <c r="M18" t="s">
        <v>32</v>
      </c>
      <c r="N18" t="s">
        <v>118</v>
      </c>
      <c r="O18">
        <f t="shared" si="0"/>
        <v>52</v>
      </c>
      <c r="Q18">
        <f t="shared" si="1"/>
        <v>15</v>
      </c>
      <c r="R18">
        <f t="shared" si="2"/>
        <v>7</v>
      </c>
      <c r="S18">
        <f t="shared" si="3"/>
        <v>7</v>
      </c>
      <c r="T18">
        <f t="shared" si="4"/>
        <v>6</v>
      </c>
      <c r="U18">
        <f t="shared" si="5"/>
        <v>5</v>
      </c>
    </row>
    <row r="19" spans="3:21" x14ac:dyDescent="0.3">
      <c r="C19" t="s">
        <v>14</v>
      </c>
      <c r="D19" t="s">
        <v>121</v>
      </c>
      <c r="E19" t="s">
        <v>109</v>
      </c>
      <c r="F19" t="s">
        <v>122</v>
      </c>
      <c r="G19" t="s">
        <v>18</v>
      </c>
      <c r="H19" t="s">
        <v>41</v>
      </c>
      <c r="I19" t="s">
        <v>123</v>
      </c>
      <c r="J19" t="s">
        <v>124</v>
      </c>
      <c r="K19" t="s">
        <v>125</v>
      </c>
      <c r="L19" t="s">
        <v>126</v>
      </c>
      <c r="M19" t="s">
        <v>24</v>
      </c>
      <c r="N19" t="s">
        <v>125</v>
      </c>
      <c r="O19">
        <f t="shared" si="0"/>
        <v>59</v>
      </c>
      <c r="Q19">
        <f t="shared" si="1"/>
        <v>13</v>
      </c>
      <c r="R19">
        <f t="shared" si="2"/>
        <v>8</v>
      </c>
      <c r="S19">
        <f t="shared" si="3"/>
        <v>7</v>
      </c>
      <c r="T19">
        <f t="shared" si="4"/>
        <v>8</v>
      </c>
      <c r="U19">
        <f t="shared" si="5"/>
        <v>9</v>
      </c>
    </row>
    <row r="20" spans="3:21" x14ac:dyDescent="0.3">
      <c r="C20" t="s">
        <v>14</v>
      </c>
      <c r="D20" t="s">
        <v>108</v>
      </c>
      <c r="E20" t="s">
        <v>109</v>
      </c>
      <c r="F20" t="s">
        <v>127</v>
      </c>
      <c r="G20" t="s">
        <v>18</v>
      </c>
      <c r="H20" t="s">
        <v>27</v>
      </c>
      <c r="I20" t="s">
        <v>128</v>
      </c>
      <c r="J20" t="s">
        <v>129</v>
      </c>
      <c r="K20" t="s">
        <v>130</v>
      </c>
      <c r="L20" t="s">
        <v>131</v>
      </c>
      <c r="M20" t="s">
        <v>32</v>
      </c>
      <c r="N20" t="s">
        <v>129</v>
      </c>
      <c r="O20">
        <f t="shared" si="0"/>
        <v>57</v>
      </c>
      <c r="Q20">
        <f t="shared" si="1"/>
        <v>16</v>
      </c>
      <c r="R20">
        <f t="shared" si="2"/>
        <v>7</v>
      </c>
      <c r="S20">
        <f t="shared" si="3"/>
        <v>7</v>
      </c>
      <c r="T20">
        <f t="shared" si="4"/>
        <v>8</v>
      </c>
      <c r="U20">
        <f t="shared" si="5"/>
        <v>6</v>
      </c>
    </row>
    <row r="21" spans="3:21" x14ac:dyDescent="0.3">
      <c r="C21" t="s">
        <v>14</v>
      </c>
      <c r="D21" t="s">
        <v>115</v>
      </c>
      <c r="E21" t="s">
        <v>109</v>
      </c>
      <c r="F21" t="s">
        <v>132</v>
      </c>
      <c r="G21" t="s">
        <v>18</v>
      </c>
      <c r="H21" t="s">
        <v>41</v>
      </c>
      <c r="I21" t="s">
        <v>133</v>
      </c>
      <c r="J21" t="s">
        <v>134</v>
      </c>
      <c r="K21" t="s">
        <v>135</v>
      </c>
      <c r="L21" t="s">
        <v>136</v>
      </c>
      <c r="M21" t="s">
        <v>24</v>
      </c>
      <c r="N21" t="s">
        <v>135</v>
      </c>
      <c r="O21">
        <f t="shared" si="0"/>
        <v>47</v>
      </c>
      <c r="Q21">
        <f t="shared" si="1"/>
        <v>12</v>
      </c>
      <c r="R21">
        <f t="shared" si="2"/>
        <v>6</v>
      </c>
      <c r="S21">
        <f t="shared" si="3"/>
        <v>8</v>
      </c>
      <c r="T21">
        <f t="shared" si="4"/>
        <v>5</v>
      </c>
      <c r="U21">
        <f t="shared" si="5"/>
        <v>5</v>
      </c>
    </row>
    <row r="22" spans="3:21" x14ac:dyDescent="0.3">
      <c r="C22" t="s">
        <v>14</v>
      </c>
      <c r="D22" t="s">
        <v>121</v>
      </c>
      <c r="E22" t="s">
        <v>109</v>
      </c>
      <c r="F22" t="s">
        <v>137</v>
      </c>
      <c r="G22" t="s">
        <v>18</v>
      </c>
      <c r="H22" t="s">
        <v>27</v>
      </c>
      <c r="I22" t="s">
        <v>138</v>
      </c>
      <c r="J22" t="s">
        <v>139</v>
      </c>
      <c r="K22" t="s">
        <v>140</v>
      </c>
      <c r="L22" t="s">
        <v>141</v>
      </c>
      <c r="M22" t="s">
        <v>52</v>
      </c>
      <c r="N22" t="s">
        <v>138</v>
      </c>
      <c r="O22">
        <f t="shared" si="0"/>
        <v>34</v>
      </c>
      <c r="Q22">
        <f t="shared" si="1"/>
        <v>15</v>
      </c>
      <c r="R22">
        <f t="shared" si="2"/>
        <v>3</v>
      </c>
      <c r="S22">
        <f t="shared" si="3"/>
        <v>2</v>
      </c>
      <c r="T22">
        <f t="shared" si="4"/>
        <v>2</v>
      </c>
      <c r="U22">
        <f t="shared" si="5"/>
        <v>4</v>
      </c>
    </row>
    <row r="23" spans="3:21" x14ac:dyDescent="0.3">
      <c r="C23" t="s">
        <v>142</v>
      </c>
      <c r="D23" t="s">
        <v>143</v>
      </c>
      <c r="E23" t="s">
        <v>144</v>
      </c>
      <c r="F23" t="s">
        <v>145</v>
      </c>
      <c r="G23" t="s">
        <v>18</v>
      </c>
      <c r="H23" t="s">
        <v>27</v>
      </c>
      <c r="I23" t="s">
        <v>146</v>
      </c>
      <c r="J23" t="s">
        <v>147</v>
      </c>
      <c r="K23" t="s">
        <v>148</v>
      </c>
      <c r="L23" t="s">
        <v>149</v>
      </c>
      <c r="M23" t="s">
        <v>32</v>
      </c>
      <c r="N23" t="s">
        <v>147</v>
      </c>
      <c r="O23">
        <f t="shared" si="0"/>
        <v>44</v>
      </c>
      <c r="Q23">
        <f t="shared" si="1"/>
        <v>14</v>
      </c>
      <c r="R23">
        <f t="shared" si="2"/>
        <v>6</v>
      </c>
      <c r="S23">
        <f t="shared" si="3"/>
        <v>5</v>
      </c>
      <c r="T23">
        <f t="shared" si="4"/>
        <v>5</v>
      </c>
      <c r="U23">
        <f t="shared" si="5"/>
        <v>4</v>
      </c>
    </row>
    <row r="24" spans="3:21" x14ac:dyDescent="0.3">
      <c r="C24" t="s">
        <v>142</v>
      </c>
      <c r="D24" t="s">
        <v>150</v>
      </c>
      <c r="E24" t="s">
        <v>144</v>
      </c>
      <c r="F24" t="s">
        <v>151</v>
      </c>
      <c r="G24" t="s">
        <v>18</v>
      </c>
      <c r="H24" t="s">
        <v>35</v>
      </c>
      <c r="I24" t="s">
        <v>152</v>
      </c>
      <c r="J24" t="s">
        <v>153</v>
      </c>
      <c r="K24" t="s">
        <v>154</v>
      </c>
      <c r="L24" t="s">
        <v>155</v>
      </c>
      <c r="M24" t="s">
        <v>24</v>
      </c>
      <c r="N24" t="s">
        <v>154</v>
      </c>
      <c r="O24">
        <f t="shared" si="0"/>
        <v>59</v>
      </c>
      <c r="Q24">
        <f t="shared" si="1"/>
        <v>24</v>
      </c>
      <c r="R24">
        <f t="shared" si="2"/>
        <v>5</v>
      </c>
      <c r="S24">
        <f t="shared" si="3"/>
        <v>5</v>
      </c>
      <c r="T24">
        <f t="shared" si="4"/>
        <v>7</v>
      </c>
      <c r="U24">
        <f t="shared" si="5"/>
        <v>4</v>
      </c>
    </row>
    <row r="25" spans="3:21" x14ac:dyDescent="0.3">
      <c r="C25" t="s">
        <v>142</v>
      </c>
      <c r="D25" t="s">
        <v>143</v>
      </c>
      <c r="E25" t="s">
        <v>144</v>
      </c>
      <c r="F25" t="s">
        <v>156</v>
      </c>
      <c r="G25" t="s">
        <v>18</v>
      </c>
      <c r="H25" t="s">
        <v>41</v>
      </c>
      <c r="I25" t="s">
        <v>157</v>
      </c>
      <c r="J25" t="s">
        <v>158</v>
      </c>
      <c r="K25" t="s">
        <v>159</v>
      </c>
      <c r="L25" t="s">
        <v>160</v>
      </c>
      <c r="M25" t="s">
        <v>52</v>
      </c>
      <c r="N25" t="s">
        <v>157</v>
      </c>
      <c r="O25">
        <f t="shared" si="0"/>
        <v>64</v>
      </c>
      <c r="Q25">
        <f t="shared" si="1"/>
        <v>11</v>
      </c>
      <c r="R25">
        <f t="shared" si="2"/>
        <v>11</v>
      </c>
      <c r="S25">
        <f t="shared" si="3"/>
        <v>8</v>
      </c>
      <c r="T25">
        <f t="shared" si="4"/>
        <v>10</v>
      </c>
      <c r="U25">
        <f t="shared" si="5"/>
        <v>9</v>
      </c>
    </row>
    <row r="26" spans="3:21" x14ac:dyDescent="0.3">
      <c r="C26" t="s">
        <v>142</v>
      </c>
      <c r="D26" t="s">
        <v>161</v>
      </c>
      <c r="E26" t="s">
        <v>144</v>
      </c>
      <c r="F26" t="s">
        <v>162</v>
      </c>
      <c r="G26" t="s">
        <v>18</v>
      </c>
      <c r="H26" t="s">
        <v>35</v>
      </c>
      <c r="I26" t="s">
        <v>163</v>
      </c>
      <c r="J26" t="s">
        <v>164</v>
      </c>
      <c r="K26" t="s">
        <v>165</v>
      </c>
      <c r="L26" t="s">
        <v>166</v>
      </c>
      <c r="M26" t="s">
        <v>32</v>
      </c>
      <c r="N26" t="s">
        <v>164</v>
      </c>
      <c r="O26">
        <f t="shared" si="0"/>
        <v>68</v>
      </c>
      <c r="Q26">
        <f t="shared" si="1"/>
        <v>23</v>
      </c>
      <c r="R26">
        <f t="shared" si="2"/>
        <v>7</v>
      </c>
      <c r="S26">
        <f t="shared" si="3"/>
        <v>7</v>
      </c>
      <c r="T26">
        <f t="shared" si="4"/>
        <v>8</v>
      </c>
      <c r="U26">
        <f t="shared" si="5"/>
        <v>7</v>
      </c>
    </row>
    <row r="27" spans="3:21" x14ac:dyDescent="0.3">
      <c r="C27" t="s">
        <v>142</v>
      </c>
      <c r="D27" t="s">
        <v>150</v>
      </c>
      <c r="E27" t="s">
        <v>144</v>
      </c>
      <c r="F27" t="s">
        <v>167</v>
      </c>
      <c r="G27" t="s">
        <v>18</v>
      </c>
      <c r="H27" t="s">
        <v>27</v>
      </c>
      <c r="I27" t="s">
        <v>168</v>
      </c>
      <c r="J27" t="s">
        <v>169</v>
      </c>
      <c r="K27" t="s">
        <v>170</v>
      </c>
      <c r="L27" t="s">
        <v>171</v>
      </c>
      <c r="M27" t="s">
        <v>24</v>
      </c>
      <c r="N27" t="s">
        <v>170</v>
      </c>
      <c r="O27">
        <f t="shared" si="0"/>
        <v>49</v>
      </c>
      <c r="Q27">
        <f t="shared" si="1"/>
        <v>18</v>
      </c>
      <c r="R27">
        <f t="shared" si="2"/>
        <v>5</v>
      </c>
      <c r="S27">
        <f t="shared" si="3"/>
        <v>5</v>
      </c>
      <c r="T27">
        <f t="shared" si="4"/>
        <v>5</v>
      </c>
      <c r="U27">
        <f t="shared" si="5"/>
        <v>5</v>
      </c>
    </row>
    <row r="28" spans="3:21" x14ac:dyDescent="0.3">
      <c r="C28" t="s">
        <v>142</v>
      </c>
      <c r="D28" t="s">
        <v>150</v>
      </c>
      <c r="E28" t="s">
        <v>144</v>
      </c>
      <c r="F28" t="s">
        <v>172</v>
      </c>
      <c r="G28" t="s">
        <v>18</v>
      </c>
      <c r="H28" t="s">
        <v>41</v>
      </c>
      <c r="I28" t="s">
        <v>173</v>
      </c>
      <c r="J28" t="s">
        <v>174</v>
      </c>
      <c r="K28" t="s">
        <v>175</v>
      </c>
      <c r="L28" t="s">
        <v>176</v>
      </c>
      <c r="M28" t="s">
        <v>32</v>
      </c>
      <c r="N28" t="s">
        <v>174</v>
      </c>
      <c r="O28">
        <f t="shared" si="0"/>
        <v>46</v>
      </c>
      <c r="Q28">
        <f t="shared" si="1"/>
        <v>11</v>
      </c>
      <c r="R28">
        <f t="shared" si="2"/>
        <v>5</v>
      </c>
      <c r="S28">
        <f t="shared" si="3"/>
        <v>6</v>
      </c>
      <c r="T28">
        <f t="shared" si="4"/>
        <v>6</v>
      </c>
      <c r="U28">
        <f t="shared" si="5"/>
        <v>7</v>
      </c>
    </row>
    <row r="29" spans="3:21" x14ac:dyDescent="0.3">
      <c r="C29" t="s">
        <v>142</v>
      </c>
      <c r="D29" t="s">
        <v>161</v>
      </c>
      <c r="E29" t="s">
        <v>144</v>
      </c>
      <c r="F29" t="s">
        <v>177</v>
      </c>
      <c r="G29" t="s">
        <v>18</v>
      </c>
      <c r="H29" t="s">
        <v>19</v>
      </c>
      <c r="I29" t="s">
        <v>178</v>
      </c>
      <c r="J29" t="s">
        <v>179</v>
      </c>
      <c r="K29" t="s">
        <v>180</v>
      </c>
      <c r="L29" t="s">
        <v>181</v>
      </c>
      <c r="M29" t="s">
        <v>24</v>
      </c>
      <c r="N29" t="s">
        <v>180</v>
      </c>
      <c r="O29">
        <f t="shared" si="0"/>
        <v>51</v>
      </c>
      <c r="Q29">
        <f t="shared" si="1"/>
        <v>14</v>
      </c>
      <c r="R29">
        <f t="shared" si="2"/>
        <v>5</v>
      </c>
      <c r="S29">
        <f t="shared" si="3"/>
        <v>7</v>
      </c>
      <c r="T29">
        <f t="shared" si="4"/>
        <v>7</v>
      </c>
      <c r="U29">
        <f t="shared" si="5"/>
        <v>6</v>
      </c>
    </row>
    <row r="30" spans="3:21" x14ac:dyDescent="0.3">
      <c r="C30" t="s">
        <v>142</v>
      </c>
      <c r="D30" t="s">
        <v>143</v>
      </c>
      <c r="E30" t="s">
        <v>144</v>
      </c>
      <c r="F30" t="s">
        <v>182</v>
      </c>
      <c r="G30" t="s">
        <v>18</v>
      </c>
      <c r="H30" t="s">
        <v>88</v>
      </c>
      <c r="I30" t="s">
        <v>183</v>
      </c>
      <c r="J30" t="s">
        <v>184</v>
      </c>
      <c r="K30" t="s">
        <v>185</v>
      </c>
      <c r="L30" t="s">
        <v>186</v>
      </c>
      <c r="M30" t="s">
        <v>24</v>
      </c>
      <c r="N30" t="s">
        <v>185</v>
      </c>
      <c r="O30">
        <f t="shared" si="0"/>
        <v>51</v>
      </c>
      <c r="Q30">
        <f t="shared" si="1"/>
        <v>14</v>
      </c>
      <c r="R30">
        <f t="shared" si="2"/>
        <v>6</v>
      </c>
      <c r="S30">
        <f t="shared" si="3"/>
        <v>6</v>
      </c>
      <c r="T30">
        <f t="shared" si="4"/>
        <v>7</v>
      </c>
      <c r="U30">
        <f t="shared" si="5"/>
        <v>6</v>
      </c>
    </row>
    <row r="31" spans="3:21" x14ac:dyDescent="0.3">
      <c r="C31" t="s">
        <v>142</v>
      </c>
      <c r="D31" t="s">
        <v>143</v>
      </c>
      <c r="E31" t="s">
        <v>144</v>
      </c>
      <c r="F31" t="s">
        <v>187</v>
      </c>
      <c r="G31" t="s">
        <v>18</v>
      </c>
      <c r="H31" t="s">
        <v>19</v>
      </c>
      <c r="I31" t="s">
        <v>188</v>
      </c>
      <c r="J31" t="s">
        <v>189</v>
      </c>
      <c r="K31" t="s">
        <v>190</v>
      </c>
      <c r="L31" t="s">
        <v>191</v>
      </c>
      <c r="M31" t="s">
        <v>46</v>
      </c>
      <c r="N31" t="s">
        <v>191</v>
      </c>
      <c r="O31">
        <f t="shared" si="0"/>
        <v>53</v>
      </c>
      <c r="Q31">
        <f t="shared" si="1"/>
        <v>18</v>
      </c>
      <c r="R31">
        <f t="shared" si="2"/>
        <v>7</v>
      </c>
      <c r="S31">
        <f t="shared" si="3"/>
        <v>4</v>
      </c>
      <c r="T31">
        <f t="shared" si="4"/>
        <v>6</v>
      </c>
      <c r="U31">
        <f t="shared" si="5"/>
        <v>6</v>
      </c>
    </row>
    <row r="32" spans="3:21" x14ac:dyDescent="0.3">
      <c r="C32" t="s">
        <v>142</v>
      </c>
      <c r="D32" t="s">
        <v>192</v>
      </c>
      <c r="E32" t="s">
        <v>193</v>
      </c>
      <c r="F32" t="s">
        <v>194</v>
      </c>
      <c r="G32" t="s">
        <v>18</v>
      </c>
      <c r="H32" t="s">
        <v>27</v>
      </c>
      <c r="I32" t="s">
        <v>195</v>
      </c>
      <c r="J32" t="s">
        <v>196</v>
      </c>
      <c r="K32" t="s">
        <v>197</v>
      </c>
      <c r="L32" t="s">
        <v>198</v>
      </c>
      <c r="M32" t="s">
        <v>32</v>
      </c>
      <c r="N32" t="s">
        <v>196</v>
      </c>
      <c r="O32">
        <f t="shared" si="0"/>
        <v>69</v>
      </c>
      <c r="Q32">
        <f t="shared" si="1"/>
        <v>29</v>
      </c>
      <c r="R32">
        <f t="shared" si="2"/>
        <v>6</v>
      </c>
      <c r="S32">
        <f t="shared" si="3"/>
        <v>6</v>
      </c>
      <c r="T32">
        <f t="shared" si="4"/>
        <v>6</v>
      </c>
      <c r="U32">
        <f t="shared" si="5"/>
        <v>6</v>
      </c>
    </row>
    <row r="33" spans="3:21" x14ac:dyDescent="0.3">
      <c r="C33" t="s">
        <v>142</v>
      </c>
      <c r="D33" t="s">
        <v>192</v>
      </c>
      <c r="E33" t="s">
        <v>193</v>
      </c>
      <c r="F33" t="s">
        <v>199</v>
      </c>
      <c r="G33" t="s">
        <v>18</v>
      </c>
      <c r="H33" t="s">
        <v>35</v>
      </c>
      <c r="I33" t="s">
        <v>200</v>
      </c>
      <c r="J33" t="s">
        <v>201</v>
      </c>
      <c r="K33" t="s">
        <v>202</v>
      </c>
      <c r="L33" t="s">
        <v>203</v>
      </c>
      <c r="M33" t="s">
        <v>46</v>
      </c>
      <c r="N33" t="s">
        <v>203</v>
      </c>
      <c r="O33">
        <f t="shared" si="0"/>
        <v>51</v>
      </c>
      <c r="Q33">
        <f t="shared" si="1"/>
        <v>23</v>
      </c>
      <c r="R33">
        <f t="shared" si="2"/>
        <v>4</v>
      </c>
      <c r="S33">
        <f t="shared" si="3"/>
        <v>4</v>
      </c>
      <c r="T33">
        <f t="shared" si="4"/>
        <v>4</v>
      </c>
      <c r="U33">
        <f t="shared" si="5"/>
        <v>4</v>
      </c>
    </row>
    <row r="34" spans="3:21" x14ac:dyDescent="0.3">
      <c r="C34" t="s">
        <v>142</v>
      </c>
      <c r="D34" t="s">
        <v>204</v>
      </c>
      <c r="E34" t="s">
        <v>193</v>
      </c>
      <c r="F34" t="s">
        <v>205</v>
      </c>
      <c r="G34" t="s">
        <v>18</v>
      </c>
      <c r="H34" t="s">
        <v>41</v>
      </c>
      <c r="I34" t="s">
        <v>206</v>
      </c>
      <c r="J34" t="s">
        <v>207</v>
      </c>
      <c r="K34" t="s">
        <v>208</v>
      </c>
      <c r="L34" t="s">
        <v>209</v>
      </c>
      <c r="M34" t="s">
        <v>24</v>
      </c>
      <c r="N34" t="s">
        <v>208</v>
      </c>
      <c r="O34">
        <f t="shared" si="0"/>
        <v>60</v>
      </c>
      <c r="Q34">
        <f t="shared" si="1"/>
        <v>24</v>
      </c>
      <c r="R34">
        <f t="shared" si="2"/>
        <v>6</v>
      </c>
      <c r="S34">
        <f t="shared" si="3"/>
        <v>5</v>
      </c>
      <c r="T34">
        <f t="shared" si="4"/>
        <v>6</v>
      </c>
      <c r="U34">
        <f t="shared" si="5"/>
        <v>5</v>
      </c>
    </row>
    <row r="35" spans="3:21" x14ac:dyDescent="0.3">
      <c r="C35" t="s">
        <v>142</v>
      </c>
      <c r="D35" t="s">
        <v>204</v>
      </c>
      <c r="E35" t="s">
        <v>193</v>
      </c>
      <c r="F35" t="s">
        <v>210</v>
      </c>
      <c r="G35" t="s">
        <v>18</v>
      </c>
      <c r="H35" t="s">
        <v>27</v>
      </c>
      <c r="I35" t="s">
        <v>211</v>
      </c>
      <c r="J35" t="s">
        <v>212</v>
      </c>
      <c r="K35" t="s">
        <v>213</v>
      </c>
      <c r="L35" t="s">
        <v>214</v>
      </c>
      <c r="M35" t="s">
        <v>24</v>
      </c>
      <c r="N35" t="s">
        <v>213</v>
      </c>
      <c r="O35">
        <f t="shared" si="0"/>
        <v>59</v>
      </c>
      <c r="Q35">
        <f t="shared" si="1"/>
        <v>25</v>
      </c>
      <c r="R35">
        <f t="shared" si="2"/>
        <v>6</v>
      </c>
      <c r="S35">
        <f t="shared" si="3"/>
        <v>5</v>
      </c>
      <c r="T35">
        <f t="shared" si="4"/>
        <v>4</v>
      </c>
      <c r="U35">
        <f t="shared" si="5"/>
        <v>5</v>
      </c>
    </row>
    <row r="36" spans="3:21" x14ac:dyDescent="0.3">
      <c r="C36" t="s">
        <v>142</v>
      </c>
      <c r="D36" t="s">
        <v>192</v>
      </c>
      <c r="E36" t="s">
        <v>193</v>
      </c>
      <c r="F36" t="s">
        <v>215</v>
      </c>
      <c r="G36" t="s">
        <v>18</v>
      </c>
      <c r="H36" t="s">
        <v>19</v>
      </c>
      <c r="I36" t="s">
        <v>216</v>
      </c>
      <c r="J36" t="s">
        <v>217</v>
      </c>
      <c r="K36" t="s">
        <v>218</v>
      </c>
      <c r="L36" t="s">
        <v>219</v>
      </c>
      <c r="M36" t="s">
        <v>24</v>
      </c>
      <c r="N36" t="s">
        <v>218</v>
      </c>
      <c r="O36">
        <f t="shared" si="0"/>
        <v>49</v>
      </c>
      <c r="Q36">
        <f t="shared" si="1"/>
        <v>17</v>
      </c>
      <c r="R36">
        <f t="shared" si="2"/>
        <v>6</v>
      </c>
      <c r="S36">
        <f t="shared" si="3"/>
        <v>5</v>
      </c>
      <c r="T36">
        <f t="shared" si="4"/>
        <v>5</v>
      </c>
      <c r="U36">
        <f t="shared" si="5"/>
        <v>5</v>
      </c>
    </row>
    <row r="37" spans="3:21" x14ac:dyDescent="0.3">
      <c r="C37" t="s">
        <v>142</v>
      </c>
      <c r="D37" t="s">
        <v>220</v>
      </c>
      <c r="E37" t="s">
        <v>193</v>
      </c>
      <c r="F37" t="s">
        <v>221</v>
      </c>
      <c r="G37" t="s">
        <v>18</v>
      </c>
      <c r="H37" t="s">
        <v>41</v>
      </c>
      <c r="I37" t="s">
        <v>222</v>
      </c>
      <c r="J37" t="s">
        <v>223</v>
      </c>
      <c r="K37" t="s">
        <v>224</v>
      </c>
      <c r="L37" t="s">
        <v>225</v>
      </c>
      <c r="M37" t="s">
        <v>32</v>
      </c>
      <c r="N37" t="s">
        <v>223</v>
      </c>
      <c r="O37">
        <f t="shared" si="0"/>
        <v>70</v>
      </c>
      <c r="Q37">
        <f t="shared" si="1"/>
        <v>27</v>
      </c>
      <c r="R37">
        <f t="shared" si="2"/>
        <v>7</v>
      </c>
      <c r="S37">
        <f t="shared" si="3"/>
        <v>5</v>
      </c>
      <c r="T37">
        <f t="shared" si="4"/>
        <v>8</v>
      </c>
      <c r="U37">
        <f t="shared" si="5"/>
        <v>7</v>
      </c>
    </row>
    <row r="38" spans="3:21" x14ac:dyDescent="0.3">
      <c r="C38" t="s">
        <v>142</v>
      </c>
      <c r="D38" t="s">
        <v>204</v>
      </c>
      <c r="E38" t="s">
        <v>193</v>
      </c>
      <c r="F38" t="s">
        <v>226</v>
      </c>
      <c r="G38" t="s">
        <v>18</v>
      </c>
      <c r="H38" t="s">
        <v>41</v>
      </c>
      <c r="I38" t="s">
        <v>227</v>
      </c>
      <c r="J38" t="s">
        <v>228</v>
      </c>
      <c r="K38" t="s">
        <v>229</v>
      </c>
      <c r="L38" t="s">
        <v>230</v>
      </c>
      <c r="M38" t="s">
        <v>52</v>
      </c>
      <c r="N38" t="s">
        <v>227</v>
      </c>
      <c r="O38">
        <f t="shared" si="0"/>
        <v>48</v>
      </c>
      <c r="Q38">
        <f t="shared" si="1"/>
        <v>15</v>
      </c>
      <c r="R38">
        <f t="shared" si="2"/>
        <v>6</v>
      </c>
      <c r="S38">
        <f t="shared" si="3"/>
        <v>6</v>
      </c>
      <c r="T38">
        <f t="shared" si="4"/>
        <v>5</v>
      </c>
      <c r="U38">
        <f t="shared" si="5"/>
        <v>5</v>
      </c>
    </row>
    <row r="39" spans="3:21" x14ac:dyDescent="0.3">
      <c r="C39" t="s">
        <v>142</v>
      </c>
      <c r="D39" t="s">
        <v>192</v>
      </c>
      <c r="E39" t="s">
        <v>193</v>
      </c>
      <c r="F39" t="s">
        <v>231</v>
      </c>
      <c r="G39" t="s">
        <v>18</v>
      </c>
      <c r="H39" t="s">
        <v>19</v>
      </c>
      <c r="I39" t="s">
        <v>232</v>
      </c>
      <c r="J39" t="s">
        <v>233</v>
      </c>
      <c r="K39" t="s">
        <v>234</v>
      </c>
      <c r="L39" t="s">
        <v>235</v>
      </c>
      <c r="M39" t="s">
        <v>24</v>
      </c>
      <c r="N39" t="s">
        <v>234</v>
      </c>
      <c r="O39">
        <f t="shared" si="0"/>
        <v>51</v>
      </c>
      <c r="Q39">
        <f t="shared" si="1"/>
        <v>17</v>
      </c>
      <c r="R39">
        <f t="shared" si="2"/>
        <v>5</v>
      </c>
      <c r="S39">
        <f t="shared" si="3"/>
        <v>6</v>
      </c>
      <c r="T39">
        <f t="shared" si="4"/>
        <v>6</v>
      </c>
      <c r="U39">
        <f t="shared" si="5"/>
        <v>5</v>
      </c>
    </row>
    <row r="40" spans="3:21" x14ac:dyDescent="0.3">
      <c r="C40" t="s">
        <v>142</v>
      </c>
      <c r="D40" t="s">
        <v>236</v>
      </c>
      <c r="E40" t="s">
        <v>237</v>
      </c>
      <c r="F40" t="s">
        <v>238</v>
      </c>
      <c r="G40" t="s">
        <v>18</v>
      </c>
      <c r="H40" t="s">
        <v>19</v>
      </c>
      <c r="I40" t="s">
        <v>239</v>
      </c>
      <c r="J40" t="s">
        <v>240</v>
      </c>
      <c r="K40" t="s">
        <v>241</v>
      </c>
      <c r="L40" t="s">
        <v>242</v>
      </c>
      <c r="M40" t="s">
        <v>32</v>
      </c>
      <c r="N40" t="s">
        <v>240</v>
      </c>
      <c r="O40">
        <f t="shared" si="0"/>
        <v>40</v>
      </c>
      <c r="Q40">
        <f t="shared" si="1"/>
        <v>11</v>
      </c>
      <c r="R40">
        <f t="shared" si="2"/>
        <v>6</v>
      </c>
      <c r="S40">
        <f t="shared" si="3"/>
        <v>5</v>
      </c>
      <c r="T40">
        <f t="shared" si="4"/>
        <v>4</v>
      </c>
      <c r="U40">
        <f t="shared" si="5"/>
        <v>5</v>
      </c>
    </row>
    <row r="41" spans="3:21" x14ac:dyDescent="0.3">
      <c r="C41" t="s">
        <v>142</v>
      </c>
      <c r="D41" t="s">
        <v>243</v>
      </c>
      <c r="E41" t="s">
        <v>237</v>
      </c>
      <c r="F41" t="s">
        <v>244</v>
      </c>
      <c r="G41" t="s">
        <v>18</v>
      </c>
      <c r="H41" t="s">
        <v>27</v>
      </c>
      <c r="I41" t="s">
        <v>245</v>
      </c>
      <c r="J41" t="s">
        <v>246</v>
      </c>
      <c r="K41" t="s">
        <v>247</v>
      </c>
      <c r="L41" t="s">
        <v>248</v>
      </c>
      <c r="M41" t="s">
        <v>52</v>
      </c>
      <c r="N41" t="s">
        <v>245</v>
      </c>
      <c r="O41">
        <f t="shared" si="0"/>
        <v>51</v>
      </c>
      <c r="Q41">
        <f t="shared" si="1"/>
        <v>16</v>
      </c>
      <c r="R41">
        <f t="shared" si="2"/>
        <v>7</v>
      </c>
      <c r="S41">
        <f t="shared" si="3"/>
        <v>5</v>
      </c>
      <c r="T41">
        <f t="shared" si="4"/>
        <v>6</v>
      </c>
      <c r="U41">
        <f t="shared" si="5"/>
        <v>5</v>
      </c>
    </row>
    <row r="42" spans="3:21" x14ac:dyDescent="0.3">
      <c r="C42" t="s">
        <v>142</v>
      </c>
      <c r="D42" t="s">
        <v>243</v>
      </c>
      <c r="E42" t="s">
        <v>237</v>
      </c>
      <c r="F42" t="s">
        <v>249</v>
      </c>
      <c r="G42" t="s">
        <v>18</v>
      </c>
      <c r="H42" t="s">
        <v>35</v>
      </c>
      <c r="I42" t="s">
        <v>250</v>
      </c>
      <c r="J42" t="s">
        <v>251</v>
      </c>
      <c r="K42" t="s">
        <v>252</v>
      </c>
      <c r="L42" t="s">
        <v>253</v>
      </c>
      <c r="M42" t="s">
        <v>24</v>
      </c>
      <c r="N42" t="s">
        <v>252</v>
      </c>
      <c r="O42">
        <f t="shared" si="0"/>
        <v>60</v>
      </c>
      <c r="Q42">
        <f t="shared" si="1"/>
        <v>22</v>
      </c>
      <c r="R42">
        <f t="shared" si="2"/>
        <v>7</v>
      </c>
      <c r="S42">
        <f t="shared" si="3"/>
        <v>5</v>
      </c>
      <c r="T42">
        <f t="shared" si="4"/>
        <v>7</v>
      </c>
      <c r="U42">
        <f t="shared" si="5"/>
        <v>5</v>
      </c>
    </row>
    <row r="43" spans="3:21" x14ac:dyDescent="0.3">
      <c r="C43" t="s">
        <v>142</v>
      </c>
      <c r="D43" t="s">
        <v>236</v>
      </c>
      <c r="E43" t="s">
        <v>237</v>
      </c>
      <c r="F43" t="s">
        <v>254</v>
      </c>
      <c r="G43" t="s">
        <v>18</v>
      </c>
      <c r="H43" t="s">
        <v>41</v>
      </c>
      <c r="I43" t="s">
        <v>255</v>
      </c>
      <c r="J43" t="s">
        <v>256</v>
      </c>
      <c r="K43" t="s">
        <v>257</v>
      </c>
      <c r="L43" t="s">
        <v>258</v>
      </c>
      <c r="M43" t="s">
        <v>32</v>
      </c>
      <c r="N43" t="s">
        <v>256</v>
      </c>
      <c r="O43">
        <f t="shared" si="0"/>
        <v>64</v>
      </c>
      <c r="Q43">
        <f t="shared" si="1"/>
        <v>22</v>
      </c>
      <c r="R43">
        <f t="shared" si="2"/>
        <v>7</v>
      </c>
      <c r="S43">
        <f t="shared" si="3"/>
        <v>7</v>
      </c>
      <c r="T43">
        <f t="shared" si="4"/>
        <v>7</v>
      </c>
      <c r="U43">
        <f t="shared" si="5"/>
        <v>6</v>
      </c>
    </row>
    <row r="44" spans="3:21" x14ac:dyDescent="0.3">
      <c r="C44" t="s">
        <v>142</v>
      </c>
      <c r="D44" t="s">
        <v>243</v>
      </c>
      <c r="E44" t="s">
        <v>237</v>
      </c>
      <c r="F44" t="s">
        <v>259</v>
      </c>
      <c r="G44" t="s">
        <v>18</v>
      </c>
      <c r="H44" t="s">
        <v>35</v>
      </c>
      <c r="I44" t="s">
        <v>260</v>
      </c>
      <c r="J44" t="s">
        <v>261</v>
      </c>
      <c r="K44" t="s">
        <v>262</v>
      </c>
      <c r="L44" t="s">
        <v>263</v>
      </c>
      <c r="M44" t="s">
        <v>46</v>
      </c>
      <c r="N44" t="s">
        <v>263</v>
      </c>
      <c r="O44">
        <f t="shared" si="0"/>
        <v>60</v>
      </c>
      <c r="Q44">
        <f t="shared" si="1"/>
        <v>26</v>
      </c>
      <c r="R44">
        <f t="shared" si="2"/>
        <v>4</v>
      </c>
      <c r="S44">
        <f t="shared" si="3"/>
        <v>7</v>
      </c>
      <c r="T44">
        <f t="shared" si="4"/>
        <v>5</v>
      </c>
      <c r="U44">
        <f t="shared" si="5"/>
        <v>4</v>
      </c>
    </row>
    <row r="45" spans="3:21" x14ac:dyDescent="0.3">
      <c r="C45" t="s">
        <v>142</v>
      </c>
      <c r="D45" t="s">
        <v>243</v>
      </c>
      <c r="E45" t="s">
        <v>237</v>
      </c>
      <c r="F45" t="s">
        <v>264</v>
      </c>
      <c r="G45" t="s">
        <v>18</v>
      </c>
      <c r="H45" t="s">
        <v>41</v>
      </c>
      <c r="I45" t="s">
        <v>265</v>
      </c>
      <c r="J45" t="s">
        <v>266</v>
      </c>
      <c r="K45" t="s">
        <v>267</v>
      </c>
      <c r="L45" t="s">
        <v>268</v>
      </c>
      <c r="M45" t="s">
        <v>24</v>
      </c>
      <c r="N45" t="s">
        <v>267</v>
      </c>
      <c r="O45">
        <f t="shared" si="0"/>
        <v>70</v>
      </c>
      <c r="Q45">
        <f t="shared" si="1"/>
        <v>18</v>
      </c>
      <c r="R45">
        <f t="shared" si="2"/>
        <v>9</v>
      </c>
      <c r="S45">
        <f t="shared" si="3"/>
        <v>9</v>
      </c>
      <c r="T45">
        <f t="shared" si="4"/>
        <v>10</v>
      </c>
      <c r="U45">
        <f t="shared" si="5"/>
        <v>8</v>
      </c>
    </row>
    <row r="46" spans="3:21" x14ac:dyDescent="0.3">
      <c r="C46" t="s">
        <v>142</v>
      </c>
      <c r="D46" t="s">
        <v>236</v>
      </c>
      <c r="E46" t="s">
        <v>237</v>
      </c>
      <c r="F46" t="s">
        <v>269</v>
      </c>
      <c r="G46" t="s">
        <v>18</v>
      </c>
      <c r="H46" t="s">
        <v>19</v>
      </c>
      <c r="I46" t="s">
        <v>270</v>
      </c>
      <c r="J46" t="s">
        <v>271</v>
      </c>
      <c r="K46" t="s">
        <v>272</v>
      </c>
      <c r="L46" t="s">
        <v>273</v>
      </c>
      <c r="M46" t="s">
        <v>52</v>
      </c>
      <c r="N46" t="s">
        <v>270</v>
      </c>
      <c r="O46">
        <f t="shared" si="0"/>
        <v>39</v>
      </c>
      <c r="Q46">
        <f t="shared" si="1"/>
        <v>14</v>
      </c>
      <c r="R46">
        <f t="shared" si="2"/>
        <v>4</v>
      </c>
      <c r="S46">
        <f t="shared" si="3"/>
        <v>4</v>
      </c>
      <c r="T46">
        <f t="shared" si="4"/>
        <v>4</v>
      </c>
      <c r="U46">
        <f t="shared" si="5"/>
        <v>4</v>
      </c>
    </row>
    <row r="47" spans="3:21" x14ac:dyDescent="0.3">
      <c r="C47" t="s">
        <v>142</v>
      </c>
      <c r="D47" t="s">
        <v>274</v>
      </c>
      <c r="E47" t="s">
        <v>237</v>
      </c>
      <c r="F47" t="s">
        <v>275</v>
      </c>
      <c r="G47" t="s">
        <v>18</v>
      </c>
      <c r="H47" t="s">
        <v>35</v>
      </c>
      <c r="I47" t="s">
        <v>276</v>
      </c>
      <c r="J47" t="s">
        <v>277</v>
      </c>
      <c r="K47" t="s">
        <v>278</v>
      </c>
      <c r="L47" t="s">
        <v>279</v>
      </c>
      <c r="M47" t="s">
        <v>32</v>
      </c>
      <c r="N47" t="s">
        <v>277</v>
      </c>
      <c r="O47">
        <f t="shared" si="0"/>
        <v>53</v>
      </c>
      <c r="Q47">
        <f t="shared" si="1"/>
        <v>20</v>
      </c>
      <c r="R47">
        <f t="shared" si="2"/>
        <v>5</v>
      </c>
      <c r="S47">
        <f t="shared" si="3"/>
        <v>5</v>
      </c>
      <c r="T47">
        <f t="shared" si="4"/>
        <v>5</v>
      </c>
      <c r="U47">
        <f t="shared" si="5"/>
        <v>6</v>
      </c>
    </row>
    <row r="48" spans="3:21" x14ac:dyDescent="0.3">
      <c r="C48" t="s">
        <v>142</v>
      </c>
      <c r="D48" t="s">
        <v>236</v>
      </c>
      <c r="E48" t="s">
        <v>237</v>
      </c>
      <c r="F48" t="s">
        <v>280</v>
      </c>
      <c r="G48" t="s">
        <v>18</v>
      </c>
      <c r="H48" t="s">
        <v>27</v>
      </c>
      <c r="I48" t="s">
        <v>281</v>
      </c>
      <c r="J48" t="s">
        <v>282</v>
      </c>
      <c r="K48" t="s">
        <v>283</v>
      </c>
      <c r="L48" t="s">
        <v>284</v>
      </c>
      <c r="M48" t="s">
        <v>24</v>
      </c>
      <c r="N48" t="s">
        <v>283</v>
      </c>
      <c r="O48">
        <f t="shared" si="0"/>
        <v>38</v>
      </c>
      <c r="Q48">
        <f t="shared" si="1"/>
        <v>20</v>
      </c>
      <c r="R48">
        <f t="shared" si="2"/>
        <v>2</v>
      </c>
      <c r="S48">
        <f t="shared" si="3"/>
        <v>2</v>
      </c>
      <c r="T48">
        <f t="shared" si="4"/>
        <v>2</v>
      </c>
      <c r="U48">
        <f t="shared" si="5"/>
        <v>3</v>
      </c>
    </row>
    <row r="49" spans="3:21" x14ac:dyDescent="0.3">
      <c r="C49" t="s">
        <v>142</v>
      </c>
      <c r="D49" t="s">
        <v>285</v>
      </c>
      <c r="E49" t="s">
        <v>286</v>
      </c>
      <c r="F49" t="s">
        <v>287</v>
      </c>
      <c r="G49" t="s">
        <v>18</v>
      </c>
      <c r="H49" t="s">
        <v>27</v>
      </c>
      <c r="I49" t="s">
        <v>288</v>
      </c>
      <c r="J49" t="s">
        <v>289</v>
      </c>
      <c r="K49" t="s">
        <v>290</v>
      </c>
      <c r="L49" t="s">
        <v>291</v>
      </c>
      <c r="M49" t="s">
        <v>32</v>
      </c>
      <c r="N49" t="s">
        <v>289</v>
      </c>
      <c r="O49">
        <f t="shared" si="0"/>
        <v>55</v>
      </c>
      <c r="Q49">
        <f t="shared" si="1"/>
        <v>20</v>
      </c>
      <c r="R49">
        <f t="shared" si="2"/>
        <v>5</v>
      </c>
      <c r="S49">
        <f t="shared" si="3"/>
        <v>5</v>
      </c>
      <c r="T49">
        <f t="shared" si="4"/>
        <v>6</v>
      </c>
      <c r="U49">
        <f t="shared" si="5"/>
        <v>6</v>
      </c>
    </row>
    <row r="50" spans="3:21" x14ac:dyDescent="0.3">
      <c r="C50" t="s">
        <v>142</v>
      </c>
      <c r="D50" t="s">
        <v>292</v>
      </c>
      <c r="E50" t="s">
        <v>286</v>
      </c>
      <c r="F50" t="s">
        <v>293</v>
      </c>
      <c r="G50" t="s">
        <v>18</v>
      </c>
      <c r="H50" t="s">
        <v>35</v>
      </c>
      <c r="I50" t="s">
        <v>294</v>
      </c>
      <c r="J50" t="s">
        <v>295</v>
      </c>
      <c r="K50" t="s">
        <v>296</v>
      </c>
      <c r="L50" t="s">
        <v>297</v>
      </c>
      <c r="M50" t="s">
        <v>24</v>
      </c>
      <c r="N50" t="s">
        <v>296</v>
      </c>
      <c r="O50">
        <f t="shared" si="0"/>
        <v>29</v>
      </c>
      <c r="Q50">
        <f t="shared" si="1"/>
        <v>17</v>
      </c>
      <c r="R50">
        <f t="shared" si="2"/>
        <v>2</v>
      </c>
      <c r="S50">
        <f t="shared" si="3"/>
        <v>1</v>
      </c>
      <c r="T50">
        <f t="shared" si="4"/>
        <v>1</v>
      </c>
      <c r="U50">
        <f t="shared" si="5"/>
        <v>1</v>
      </c>
    </row>
    <row r="51" spans="3:21" x14ac:dyDescent="0.3">
      <c r="C51" t="s">
        <v>142</v>
      </c>
      <c r="D51" t="s">
        <v>285</v>
      </c>
      <c r="E51" t="s">
        <v>286</v>
      </c>
      <c r="F51" t="s">
        <v>298</v>
      </c>
      <c r="G51" t="s">
        <v>18</v>
      </c>
      <c r="H51" t="s">
        <v>41</v>
      </c>
      <c r="I51" t="s">
        <v>299</v>
      </c>
      <c r="J51" t="s">
        <v>300</v>
      </c>
      <c r="K51" t="s">
        <v>301</v>
      </c>
      <c r="L51" t="s">
        <v>302</v>
      </c>
      <c r="M51" t="s">
        <v>52</v>
      </c>
      <c r="N51" t="s">
        <v>299</v>
      </c>
      <c r="O51">
        <f t="shared" si="0"/>
        <v>57</v>
      </c>
      <c r="Q51">
        <f t="shared" si="1"/>
        <v>17</v>
      </c>
      <c r="R51">
        <f t="shared" si="2"/>
        <v>7</v>
      </c>
      <c r="S51">
        <f t="shared" si="3"/>
        <v>6</v>
      </c>
      <c r="T51">
        <f t="shared" si="4"/>
        <v>6</v>
      </c>
      <c r="U51">
        <f t="shared" si="5"/>
        <v>8</v>
      </c>
    </row>
    <row r="52" spans="3:21" x14ac:dyDescent="0.3">
      <c r="C52" t="s">
        <v>142</v>
      </c>
      <c r="D52" t="s">
        <v>285</v>
      </c>
      <c r="E52" t="s">
        <v>286</v>
      </c>
      <c r="F52" t="s">
        <v>303</v>
      </c>
      <c r="G52" t="s">
        <v>18</v>
      </c>
      <c r="H52" t="s">
        <v>19</v>
      </c>
      <c r="I52" t="s">
        <v>304</v>
      </c>
      <c r="J52" t="s">
        <v>305</v>
      </c>
      <c r="K52" t="s">
        <v>306</v>
      </c>
      <c r="L52" t="s">
        <v>307</v>
      </c>
      <c r="M52" t="s">
        <v>32</v>
      </c>
      <c r="N52" t="s">
        <v>305</v>
      </c>
      <c r="O52">
        <f t="shared" si="0"/>
        <v>23</v>
      </c>
      <c r="Q52">
        <f t="shared" si="1"/>
        <v>10</v>
      </c>
      <c r="R52">
        <f t="shared" si="2"/>
        <v>2</v>
      </c>
      <c r="S52">
        <f t="shared" si="3"/>
        <v>2</v>
      </c>
      <c r="T52">
        <f t="shared" si="4"/>
        <v>2</v>
      </c>
      <c r="U52">
        <f t="shared" si="5"/>
        <v>2</v>
      </c>
    </row>
    <row r="53" spans="3:21" x14ac:dyDescent="0.3">
      <c r="C53" t="s">
        <v>142</v>
      </c>
      <c r="D53" t="s">
        <v>285</v>
      </c>
      <c r="E53" t="s">
        <v>286</v>
      </c>
      <c r="F53" t="s">
        <v>308</v>
      </c>
      <c r="G53" t="s">
        <v>18</v>
      </c>
      <c r="H53" t="s">
        <v>27</v>
      </c>
      <c r="I53" t="s">
        <v>309</v>
      </c>
      <c r="J53" t="s">
        <v>310</v>
      </c>
      <c r="K53" t="s">
        <v>311</v>
      </c>
      <c r="L53" t="s">
        <v>312</v>
      </c>
      <c r="M53" t="s">
        <v>24</v>
      </c>
      <c r="N53" t="s">
        <v>311</v>
      </c>
      <c r="O53">
        <f t="shared" si="0"/>
        <v>48</v>
      </c>
      <c r="Q53">
        <f t="shared" si="1"/>
        <v>12</v>
      </c>
      <c r="R53">
        <f t="shared" si="2"/>
        <v>7</v>
      </c>
      <c r="S53">
        <f t="shared" si="3"/>
        <v>6</v>
      </c>
      <c r="T53">
        <f t="shared" si="4"/>
        <v>6</v>
      </c>
      <c r="U53">
        <f t="shared" si="5"/>
        <v>6</v>
      </c>
    </row>
    <row r="54" spans="3:21" x14ac:dyDescent="0.3">
      <c r="C54" t="s">
        <v>142</v>
      </c>
      <c r="D54" t="s">
        <v>292</v>
      </c>
      <c r="E54" t="s">
        <v>286</v>
      </c>
      <c r="F54" t="s">
        <v>313</v>
      </c>
      <c r="G54" t="s">
        <v>18</v>
      </c>
      <c r="H54" t="s">
        <v>41</v>
      </c>
      <c r="I54" t="s">
        <v>314</v>
      </c>
      <c r="J54" t="s">
        <v>315</v>
      </c>
      <c r="K54" t="s">
        <v>316</v>
      </c>
      <c r="L54" t="s">
        <v>317</v>
      </c>
      <c r="M54" t="s">
        <v>52</v>
      </c>
      <c r="N54" t="s">
        <v>314</v>
      </c>
      <c r="O54">
        <f t="shared" si="0"/>
        <v>53</v>
      </c>
      <c r="Q54">
        <f t="shared" si="1"/>
        <v>18</v>
      </c>
      <c r="R54">
        <f t="shared" si="2"/>
        <v>7</v>
      </c>
      <c r="S54">
        <f t="shared" si="3"/>
        <v>5</v>
      </c>
      <c r="T54">
        <f t="shared" si="4"/>
        <v>5</v>
      </c>
      <c r="U54">
        <f t="shared" si="5"/>
        <v>6</v>
      </c>
    </row>
    <row r="55" spans="3:21" x14ac:dyDescent="0.3">
      <c r="C55" t="s">
        <v>142</v>
      </c>
      <c r="D55" t="s">
        <v>285</v>
      </c>
      <c r="E55" t="s">
        <v>286</v>
      </c>
      <c r="F55" t="s">
        <v>318</v>
      </c>
      <c r="G55" t="s">
        <v>18</v>
      </c>
      <c r="H55" t="s">
        <v>41</v>
      </c>
      <c r="I55" t="s">
        <v>319</v>
      </c>
      <c r="J55" t="s">
        <v>320</v>
      </c>
      <c r="K55" t="s">
        <v>321</v>
      </c>
      <c r="L55" t="s">
        <v>322</v>
      </c>
      <c r="M55" t="s">
        <v>32</v>
      </c>
      <c r="N55" t="s">
        <v>320</v>
      </c>
      <c r="O55">
        <f t="shared" si="0"/>
        <v>51</v>
      </c>
      <c r="Q55">
        <f t="shared" si="1"/>
        <v>14</v>
      </c>
      <c r="R55">
        <f t="shared" si="2"/>
        <v>7</v>
      </c>
      <c r="S55">
        <f t="shared" si="3"/>
        <v>8</v>
      </c>
      <c r="T55">
        <f t="shared" si="4"/>
        <v>5</v>
      </c>
      <c r="U55">
        <f t="shared" si="5"/>
        <v>5</v>
      </c>
    </row>
    <row r="56" spans="3:21" x14ac:dyDescent="0.3">
      <c r="C56" t="s">
        <v>142</v>
      </c>
      <c r="D56" t="s">
        <v>285</v>
      </c>
      <c r="E56" t="s">
        <v>286</v>
      </c>
      <c r="F56" t="s">
        <v>323</v>
      </c>
      <c r="G56" t="s">
        <v>18</v>
      </c>
      <c r="H56" t="s">
        <v>41</v>
      </c>
      <c r="I56" t="s">
        <v>324</v>
      </c>
      <c r="J56" t="s">
        <v>325</v>
      </c>
      <c r="K56" t="s">
        <v>326</v>
      </c>
      <c r="L56" t="s">
        <v>327</v>
      </c>
      <c r="M56" t="s">
        <v>52</v>
      </c>
      <c r="N56" t="s">
        <v>324</v>
      </c>
      <c r="O56">
        <f t="shared" si="0"/>
        <v>53</v>
      </c>
      <c r="Q56">
        <f t="shared" si="1"/>
        <v>14</v>
      </c>
      <c r="R56">
        <f t="shared" si="2"/>
        <v>8</v>
      </c>
      <c r="S56">
        <f t="shared" si="3"/>
        <v>7</v>
      </c>
      <c r="T56">
        <f t="shared" si="4"/>
        <v>7</v>
      </c>
      <c r="U56">
        <f t="shared" si="5"/>
        <v>5</v>
      </c>
    </row>
    <row r="57" spans="3:21" x14ac:dyDescent="0.3">
      <c r="C57" t="s">
        <v>142</v>
      </c>
      <c r="D57" t="s">
        <v>328</v>
      </c>
      <c r="E57" t="s">
        <v>329</v>
      </c>
      <c r="F57" t="s">
        <v>330</v>
      </c>
      <c r="G57" t="s">
        <v>18</v>
      </c>
      <c r="H57" t="s">
        <v>19</v>
      </c>
      <c r="I57" t="s">
        <v>331</v>
      </c>
      <c r="J57" t="s">
        <v>332</v>
      </c>
      <c r="K57" t="s">
        <v>333</v>
      </c>
      <c r="L57" t="s">
        <v>334</v>
      </c>
      <c r="M57" t="s">
        <v>24</v>
      </c>
      <c r="N57" t="s">
        <v>333</v>
      </c>
      <c r="O57">
        <f t="shared" si="0"/>
        <v>30</v>
      </c>
      <c r="Q57">
        <f t="shared" si="1"/>
        <v>12</v>
      </c>
      <c r="R57">
        <f t="shared" si="2"/>
        <v>3</v>
      </c>
      <c r="S57">
        <f t="shared" si="3"/>
        <v>3</v>
      </c>
      <c r="T57">
        <f t="shared" si="4"/>
        <v>2</v>
      </c>
      <c r="U57">
        <f t="shared" si="5"/>
        <v>3</v>
      </c>
    </row>
    <row r="58" spans="3:21" x14ac:dyDescent="0.3">
      <c r="C58" t="s">
        <v>142</v>
      </c>
      <c r="D58" t="s">
        <v>328</v>
      </c>
      <c r="E58" t="s">
        <v>329</v>
      </c>
      <c r="F58" t="s">
        <v>335</v>
      </c>
      <c r="G58" t="s">
        <v>18</v>
      </c>
      <c r="H58" t="s">
        <v>27</v>
      </c>
      <c r="I58" t="s">
        <v>336</v>
      </c>
      <c r="J58" t="s">
        <v>337</v>
      </c>
      <c r="K58" t="s">
        <v>338</v>
      </c>
      <c r="L58" t="s">
        <v>339</v>
      </c>
      <c r="M58" t="s">
        <v>32</v>
      </c>
      <c r="N58" t="s">
        <v>337</v>
      </c>
      <c r="O58">
        <f t="shared" si="0"/>
        <v>55</v>
      </c>
      <c r="Q58">
        <f t="shared" si="1"/>
        <v>14</v>
      </c>
      <c r="R58">
        <f t="shared" si="2"/>
        <v>7</v>
      </c>
      <c r="S58">
        <f t="shared" si="3"/>
        <v>7</v>
      </c>
      <c r="T58">
        <f t="shared" si="4"/>
        <v>7</v>
      </c>
      <c r="U58">
        <f t="shared" si="5"/>
        <v>7</v>
      </c>
    </row>
    <row r="59" spans="3:21" x14ac:dyDescent="0.3">
      <c r="C59" t="s">
        <v>142</v>
      </c>
      <c r="D59" t="s">
        <v>340</v>
      </c>
      <c r="E59" t="s">
        <v>329</v>
      </c>
      <c r="F59" t="s">
        <v>341</v>
      </c>
      <c r="G59" t="s">
        <v>18</v>
      </c>
      <c r="H59" t="s">
        <v>35</v>
      </c>
      <c r="I59" t="s">
        <v>342</v>
      </c>
      <c r="J59" t="s">
        <v>343</v>
      </c>
      <c r="K59" t="s">
        <v>344</v>
      </c>
      <c r="L59" t="s">
        <v>345</v>
      </c>
      <c r="M59" t="s">
        <v>46</v>
      </c>
      <c r="N59" t="s">
        <v>345</v>
      </c>
      <c r="O59">
        <f t="shared" si="0"/>
        <v>65</v>
      </c>
      <c r="Q59">
        <f t="shared" si="1"/>
        <v>26</v>
      </c>
      <c r="R59">
        <f t="shared" si="2"/>
        <v>7</v>
      </c>
      <c r="S59">
        <f t="shared" si="3"/>
        <v>6</v>
      </c>
      <c r="T59">
        <f t="shared" si="4"/>
        <v>7</v>
      </c>
      <c r="U59">
        <f t="shared" si="5"/>
        <v>4</v>
      </c>
    </row>
    <row r="60" spans="3:21" x14ac:dyDescent="0.3">
      <c r="C60" t="s">
        <v>142</v>
      </c>
      <c r="D60" t="s">
        <v>328</v>
      </c>
      <c r="E60" t="s">
        <v>329</v>
      </c>
      <c r="F60" t="s">
        <v>346</v>
      </c>
      <c r="G60" t="s">
        <v>18</v>
      </c>
      <c r="H60" t="s">
        <v>41</v>
      </c>
      <c r="I60" t="s">
        <v>347</v>
      </c>
      <c r="J60" t="s">
        <v>348</v>
      </c>
      <c r="K60" t="s">
        <v>349</v>
      </c>
      <c r="L60" t="s">
        <v>350</v>
      </c>
      <c r="M60" t="s">
        <v>52</v>
      </c>
      <c r="N60" t="s">
        <v>347</v>
      </c>
      <c r="O60">
        <f t="shared" si="0"/>
        <v>66</v>
      </c>
      <c r="Q60">
        <f t="shared" si="1"/>
        <v>20</v>
      </c>
      <c r="R60">
        <f t="shared" si="2"/>
        <v>9</v>
      </c>
      <c r="S60">
        <f t="shared" si="3"/>
        <v>8</v>
      </c>
      <c r="T60">
        <f t="shared" si="4"/>
        <v>8</v>
      </c>
      <c r="U60">
        <f t="shared" si="5"/>
        <v>6</v>
      </c>
    </row>
    <row r="61" spans="3:21" x14ac:dyDescent="0.3">
      <c r="C61" t="s">
        <v>142</v>
      </c>
      <c r="D61" t="s">
        <v>328</v>
      </c>
      <c r="E61" t="s">
        <v>329</v>
      </c>
      <c r="F61" t="s">
        <v>351</v>
      </c>
      <c r="G61" t="s">
        <v>18</v>
      </c>
      <c r="H61" t="s">
        <v>27</v>
      </c>
      <c r="I61" t="s">
        <v>352</v>
      </c>
      <c r="J61" t="s">
        <v>353</v>
      </c>
      <c r="K61" t="s">
        <v>354</v>
      </c>
      <c r="L61" t="s">
        <v>355</v>
      </c>
      <c r="M61" t="s">
        <v>32</v>
      </c>
      <c r="N61" t="s">
        <v>353</v>
      </c>
      <c r="O61">
        <f t="shared" si="0"/>
        <v>25</v>
      </c>
      <c r="Q61">
        <f t="shared" si="1"/>
        <v>11</v>
      </c>
      <c r="R61">
        <f t="shared" si="2"/>
        <v>2</v>
      </c>
      <c r="S61">
        <f t="shared" si="3"/>
        <v>2</v>
      </c>
      <c r="T61">
        <f t="shared" si="4"/>
        <v>2</v>
      </c>
      <c r="U61">
        <f t="shared" si="5"/>
        <v>2</v>
      </c>
    </row>
    <row r="62" spans="3:21" x14ac:dyDescent="0.3">
      <c r="C62" t="s">
        <v>142</v>
      </c>
      <c r="D62" t="s">
        <v>356</v>
      </c>
      <c r="E62" t="s">
        <v>329</v>
      </c>
      <c r="F62" t="s">
        <v>357</v>
      </c>
      <c r="G62" t="s">
        <v>18</v>
      </c>
      <c r="H62" t="s">
        <v>35</v>
      </c>
      <c r="I62" t="s">
        <v>358</v>
      </c>
      <c r="J62" t="s">
        <v>359</v>
      </c>
      <c r="K62" t="s">
        <v>360</v>
      </c>
      <c r="L62" t="s">
        <v>361</v>
      </c>
      <c r="M62" t="s">
        <v>52</v>
      </c>
      <c r="N62" t="s">
        <v>358</v>
      </c>
      <c r="O62">
        <f t="shared" si="0"/>
        <v>62</v>
      </c>
      <c r="Q62">
        <f t="shared" si="1"/>
        <v>19</v>
      </c>
      <c r="R62">
        <f t="shared" si="2"/>
        <v>7</v>
      </c>
      <c r="S62">
        <f t="shared" si="3"/>
        <v>7</v>
      </c>
      <c r="T62">
        <f t="shared" si="4"/>
        <v>7</v>
      </c>
      <c r="U62">
        <f t="shared" si="5"/>
        <v>8</v>
      </c>
    </row>
    <row r="63" spans="3:21" x14ac:dyDescent="0.3">
      <c r="C63" t="s">
        <v>142</v>
      </c>
      <c r="D63" t="s">
        <v>340</v>
      </c>
      <c r="E63" t="s">
        <v>329</v>
      </c>
      <c r="F63" t="s">
        <v>362</v>
      </c>
      <c r="G63" t="s">
        <v>18</v>
      </c>
      <c r="H63" t="s">
        <v>41</v>
      </c>
      <c r="I63" t="s">
        <v>363</v>
      </c>
      <c r="J63" t="s">
        <v>364</v>
      </c>
      <c r="K63" t="s">
        <v>365</v>
      </c>
      <c r="L63" t="s">
        <v>366</v>
      </c>
      <c r="M63" t="s">
        <v>24</v>
      </c>
      <c r="N63" t="s">
        <v>365</v>
      </c>
      <c r="O63">
        <f t="shared" si="0"/>
        <v>68</v>
      </c>
      <c r="Q63">
        <f t="shared" si="1"/>
        <v>23</v>
      </c>
      <c r="R63">
        <f t="shared" si="2"/>
        <v>6</v>
      </c>
      <c r="S63">
        <f t="shared" si="3"/>
        <v>7</v>
      </c>
      <c r="T63">
        <f t="shared" si="4"/>
        <v>8</v>
      </c>
      <c r="U63">
        <f t="shared" si="5"/>
        <v>8</v>
      </c>
    </row>
    <row r="64" spans="3:21" x14ac:dyDescent="0.3">
      <c r="C64" t="s">
        <v>142</v>
      </c>
      <c r="D64" t="s">
        <v>340</v>
      </c>
      <c r="E64" t="s">
        <v>329</v>
      </c>
      <c r="F64" t="s">
        <v>367</v>
      </c>
      <c r="G64" t="s">
        <v>18</v>
      </c>
      <c r="H64" t="s">
        <v>88</v>
      </c>
      <c r="I64" t="s">
        <v>368</v>
      </c>
      <c r="J64" t="s">
        <v>334</v>
      </c>
      <c r="K64" t="s">
        <v>332</v>
      </c>
      <c r="L64" t="s">
        <v>331</v>
      </c>
      <c r="M64" t="s">
        <v>52</v>
      </c>
      <c r="N64" t="s">
        <v>368</v>
      </c>
      <c r="O64">
        <f t="shared" si="0"/>
        <v>46</v>
      </c>
      <c r="Q64">
        <f t="shared" si="1"/>
        <v>24</v>
      </c>
      <c r="R64">
        <f t="shared" si="2"/>
        <v>2</v>
      </c>
      <c r="S64">
        <f t="shared" si="3"/>
        <v>3</v>
      </c>
      <c r="T64">
        <f t="shared" si="4"/>
        <v>3</v>
      </c>
      <c r="U64">
        <f t="shared" si="5"/>
        <v>3</v>
      </c>
    </row>
    <row r="65" spans="3:21" x14ac:dyDescent="0.3">
      <c r="C65" t="s">
        <v>142</v>
      </c>
      <c r="D65" t="s">
        <v>356</v>
      </c>
      <c r="E65" t="s">
        <v>329</v>
      </c>
      <c r="F65" t="s">
        <v>369</v>
      </c>
      <c r="G65" t="s">
        <v>18</v>
      </c>
      <c r="H65" t="s">
        <v>27</v>
      </c>
      <c r="I65" t="s">
        <v>370</v>
      </c>
      <c r="J65" t="s">
        <v>371</v>
      </c>
      <c r="K65" t="s">
        <v>372</v>
      </c>
      <c r="L65" t="s">
        <v>373</v>
      </c>
      <c r="M65" t="s">
        <v>46</v>
      </c>
      <c r="N65" t="s">
        <v>373</v>
      </c>
      <c r="O65">
        <f t="shared" si="0"/>
        <v>29</v>
      </c>
      <c r="Q65">
        <f t="shared" si="1"/>
        <v>13</v>
      </c>
      <c r="R65">
        <f t="shared" si="2"/>
        <v>2</v>
      </c>
      <c r="S65">
        <f t="shared" si="3"/>
        <v>2</v>
      </c>
      <c r="T65">
        <f t="shared" si="4"/>
        <v>2</v>
      </c>
      <c r="U65">
        <f t="shared" si="5"/>
        <v>3</v>
      </c>
    </row>
    <row r="66" spans="3:21" x14ac:dyDescent="0.3">
      <c r="C66" t="s">
        <v>14</v>
      </c>
      <c r="D66" t="s">
        <v>33</v>
      </c>
      <c r="E66" t="s">
        <v>16</v>
      </c>
      <c r="F66" t="s">
        <v>374</v>
      </c>
      <c r="G66" t="s">
        <v>18</v>
      </c>
      <c r="H66" t="s">
        <v>19</v>
      </c>
      <c r="I66" t="s">
        <v>375</v>
      </c>
      <c r="J66" t="s">
        <v>376</v>
      </c>
      <c r="K66" t="s">
        <v>377</v>
      </c>
      <c r="L66" t="s">
        <v>378</v>
      </c>
      <c r="M66" t="s">
        <v>46</v>
      </c>
      <c r="N66" t="s">
        <v>378</v>
      </c>
      <c r="O66">
        <f t="shared" si="0"/>
        <v>85</v>
      </c>
      <c r="Q66">
        <f t="shared" si="1"/>
        <v>23</v>
      </c>
      <c r="R66">
        <f t="shared" si="2"/>
        <v>10</v>
      </c>
      <c r="S66">
        <f t="shared" si="3"/>
        <v>11</v>
      </c>
      <c r="T66">
        <f t="shared" si="4"/>
        <v>10</v>
      </c>
      <c r="U66">
        <f t="shared" si="5"/>
        <v>11</v>
      </c>
    </row>
    <row r="67" spans="3:21" x14ac:dyDescent="0.3">
      <c r="C67" t="s">
        <v>14</v>
      </c>
      <c r="D67" t="s">
        <v>15</v>
      </c>
      <c r="E67" t="s">
        <v>16</v>
      </c>
      <c r="F67" t="s">
        <v>379</v>
      </c>
      <c r="G67" t="s">
        <v>18</v>
      </c>
      <c r="H67" t="s">
        <v>27</v>
      </c>
      <c r="I67" t="s">
        <v>380</v>
      </c>
      <c r="J67" t="s">
        <v>381</v>
      </c>
      <c r="K67" t="s">
        <v>382</v>
      </c>
      <c r="L67" t="s">
        <v>383</v>
      </c>
      <c r="M67" t="s">
        <v>46</v>
      </c>
      <c r="N67" t="s">
        <v>383</v>
      </c>
      <c r="O67">
        <f t="shared" ref="O67:O101" si="6">ROUND(SUM(Q67:U67)*1.3,0)</f>
        <v>83</v>
      </c>
      <c r="Q67">
        <f t="shared" ref="Q67:Q101" si="7">LEN(TRIM(F67))-LEN(SUBSTITUTE(TRIM(F67)," ",""))+1</f>
        <v>21</v>
      </c>
      <c r="R67">
        <f t="shared" ref="R67:R101" si="8">LEN(TRIM(I67))-LEN(SUBSTITUTE(TRIM(I67)," ",""))+1</f>
        <v>10</v>
      </c>
      <c r="S67">
        <f t="shared" ref="S67:S101" si="9">LEN(TRIM(J67))-LEN(SUBSTITUTE(TRIM(J67)," ",""))+1</f>
        <v>12</v>
      </c>
      <c r="T67">
        <f t="shared" ref="T67:T101" si="10">LEN(TRIM(K67))-LEN(SUBSTITUTE(TRIM(K67)," ",""))+1</f>
        <v>11</v>
      </c>
      <c r="U67">
        <f t="shared" ref="U67:U101" si="11">LEN(TRIM(L67))-LEN(SUBSTITUTE(TRIM(L67)," ",""))+1</f>
        <v>10</v>
      </c>
    </row>
    <row r="68" spans="3:21" x14ac:dyDescent="0.3">
      <c r="C68" t="s">
        <v>14</v>
      </c>
      <c r="D68" t="s">
        <v>25</v>
      </c>
      <c r="E68" t="s">
        <v>16</v>
      </c>
      <c r="F68" t="s">
        <v>384</v>
      </c>
      <c r="G68" t="s">
        <v>18</v>
      </c>
      <c r="H68" t="s">
        <v>35</v>
      </c>
      <c r="I68" t="s">
        <v>385</v>
      </c>
      <c r="J68" t="s">
        <v>386</v>
      </c>
      <c r="K68" t="s">
        <v>387</v>
      </c>
      <c r="L68" t="s">
        <v>388</v>
      </c>
      <c r="M68" t="s">
        <v>32</v>
      </c>
      <c r="N68" t="s">
        <v>386</v>
      </c>
      <c r="O68">
        <f t="shared" si="6"/>
        <v>117</v>
      </c>
      <c r="Q68">
        <f t="shared" si="7"/>
        <v>42</v>
      </c>
      <c r="R68">
        <f t="shared" si="8"/>
        <v>12</v>
      </c>
      <c r="S68">
        <f t="shared" si="9"/>
        <v>12</v>
      </c>
      <c r="T68">
        <f t="shared" si="10"/>
        <v>12</v>
      </c>
      <c r="U68">
        <f t="shared" si="11"/>
        <v>12</v>
      </c>
    </row>
    <row r="69" spans="3:21" x14ac:dyDescent="0.3">
      <c r="C69" t="s">
        <v>14</v>
      </c>
      <c r="D69" t="s">
        <v>33</v>
      </c>
      <c r="E69" t="s">
        <v>16</v>
      </c>
      <c r="F69" t="s">
        <v>389</v>
      </c>
      <c r="G69" t="s">
        <v>18</v>
      </c>
      <c r="H69" t="s">
        <v>35</v>
      </c>
      <c r="I69" t="s">
        <v>390</v>
      </c>
      <c r="J69" t="s">
        <v>391</v>
      </c>
      <c r="K69" t="s">
        <v>392</v>
      </c>
      <c r="L69" t="s">
        <v>393</v>
      </c>
      <c r="M69" t="s">
        <v>32</v>
      </c>
      <c r="N69" t="s">
        <v>391</v>
      </c>
      <c r="O69">
        <f t="shared" si="6"/>
        <v>98</v>
      </c>
      <c r="Q69">
        <f t="shared" si="7"/>
        <v>36</v>
      </c>
      <c r="R69">
        <f t="shared" si="8"/>
        <v>9</v>
      </c>
      <c r="S69">
        <f t="shared" si="9"/>
        <v>11</v>
      </c>
      <c r="T69">
        <f t="shared" si="10"/>
        <v>8</v>
      </c>
      <c r="U69">
        <f t="shared" si="11"/>
        <v>11</v>
      </c>
    </row>
    <row r="70" spans="3:21" x14ac:dyDescent="0.3">
      <c r="C70" t="s">
        <v>14</v>
      </c>
      <c r="D70" t="s">
        <v>33</v>
      </c>
      <c r="E70" t="s">
        <v>16</v>
      </c>
      <c r="F70" t="s">
        <v>394</v>
      </c>
      <c r="G70" t="s">
        <v>18</v>
      </c>
      <c r="H70" t="s">
        <v>41</v>
      </c>
      <c r="I70" t="s">
        <v>395</v>
      </c>
      <c r="J70" t="s">
        <v>396</v>
      </c>
      <c r="K70" t="s">
        <v>397</v>
      </c>
      <c r="L70" t="s">
        <v>398</v>
      </c>
      <c r="M70" t="s">
        <v>52</v>
      </c>
      <c r="N70" t="s">
        <v>395</v>
      </c>
      <c r="O70">
        <f t="shared" si="6"/>
        <v>96</v>
      </c>
      <c r="Q70">
        <f t="shared" si="7"/>
        <v>28</v>
      </c>
      <c r="R70">
        <f t="shared" si="8"/>
        <v>13</v>
      </c>
      <c r="S70">
        <f t="shared" si="9"/>
        <v>13</v>
      </c>
      <c r="T70">
        <f t="shared" si="10"/>
        <v>9</v>
      </c>
      <c r="U70">
        <f t="shared" si="11"/>
        <v>11</v>
      </c>
    </row>
    <row r="71" spans="3:21" x14ac:dyDescent="0.3">
      <c r="C71" t="s">
        <v>14</v>
      </c>
      <c r="D71" t="s">
        <v>25</v>
      </c>
      <c r="E71" t="s">
        <v>16</v>
      </c>
      <c r="F71" t="s">
        <v>399</v>
      </c>
      <c r="G71" t="s">
        <v>18</v>
      </c>
      <c r="H71" t="s">
        <v>41</v>
      </c>
      <c r="I71" t="s">
        <v>400</v>
      </c>
      <c r="J71" t="s">
        <v>401</v>
      </c>
      <c r="K71" t="s">
        <v>402</v>
      </c>
      <c r="L71" t="s">
        <v>403</v>
      </c>
      <c r="M71" t="s">
        <v>52</v>
      </c>
      <c r="N71" t="s">
        <v>400</v>
      </c>
      <c r="O71">
        <f t="shared" si="6"/>
        <v>103</v>
      </c>
      <c r="Q71">
        <f t="shared" si="7"/>
        <v>32</v>
      </c>
      <c r="R71">
        <f t="shared" si="8"/>
        <v>11</v>
      </c>
      <c r="S71">
        <f t="shared" si="9"/>
        <v>11</v>
      </c>
      <c r="T71">
        <f t="shared" si="10"/>
        <v>13</v>
      </c>
      <c r="U71">
        <f t="shared" si="11"/>
        <v>12</v>
      </c>
    </row>
    <row r="72" spans="3:21" x14ac:dyDescent="0.3">
      <c r="C72" t="s">
        <v>14</v>
      </c>
      <c r="D72" t="s">
        <v>68</v>
      </c>
      <c r="E72" t="s">
        <v>69</v>
      </c>
      <c r="F72" t="s">
        <v>404</v>
      </c>
      <c r="G72" t="s">
        <v>18</v>
      </c>
      <c r="H72" t="s">
        <v>41</v>
      </c>
      <c r="I72" t="s">
        <v>405</v>
      </c>
      <c r="J72" t="s">
        <v>406</v>
      </c>
      <c r="K72" t="s">
        <v>407</v>
      </c>
      <c r="L72" t="s">
        <v>408</v>
      </c>
      <c r="M72" t="s">
        <v>46</v>
      </c>
      <c r="N72" t="s">
        <v>408</v>
      </c>
      <c r="O72">
        <f t="shared" si="6"/>
        <v>70</v>
      </c>
      <c r="Q72">
        <f t="shared" si="7"/>
        <v>27</v>
      </c>
      <c r="R72">
        <f t="shared" si="8"/>
        <v>6</v>
      </c>
      <c r="S72">
        <f t="shared" si="9"/>
        <v>6</v>
      </c>
      <c r="T72">
        <f t="shared" si="10"/>
        <v>7</v>
      </c>
      <c r="U72">
        <f t="shared" si="11"/>
        <v>8</v>
      </c>
    </row>
    <row r="73" spans="3:21" x14ac:dyDescent="0.3">
      <c r="C73" t="s">
        <v>14</v>
      </c>
      <c r="D73" t="s">
        <v>115</v>
      </c>
      <c r="E73" t="s">
        <v>109</v>
      </c>
      <c r="F73" t="s">
        <v>409</v>
      </c>
      <c r="G73" t="s">
        <v>18</v>
      </c>
      <c r="H73" t="s">
        <v>19</v>
      </c>
      <c r="I73" t="s">
        <v>410</v>
      </c>
      <c r="J73" t="s">
        <v>411</v>
      </c>
      <c r="K73" t="s">
        <v>412</v>
      </c>
      <c r="L73" t="s">
        <v>413</v>
      </c>
      <c r="M73" t="s">
        <v>52</v>
      </c>
      <c r="N73" t="s">
        <v>410</v>
      </c>
      <c r="O73">
        <f t="shared" si="6"/>
        <v>98</v>
      </c>
      <c r="Q73">
        <f t="shared" si="7"/>
        <v>45</v>
      </c>
      <c r="R73">
        <f t="shared" si="8"/>
        <v>8</v>
      </c>
      <c r="S73">
        <f t="shared" si="9"/>
        <v>7</v>
      </c>
      <c r="T73">
        <f t="shared" si="10"/>
        <v>8</v>
      </c>
      <c r="U73">
        <f t="shared" si="11"/>
        <v>7</v>
      </c>
    </row>
    <row r="74" spans="3:21" x14ac:dyDescent="0.3">
      <c r="C74" t="s">
        <v>14</v>
      </c>
      <c r="D74" t="s">
        <v>108</v>
      </c>
      <c r="E74" t="s">
        <v>109</v>
      </c>
      <c r="F74" t="s">
        <v>414</v>
      </c>
      <c r="G74" t="s">
        <v>18</v>
      </c>
      <c r="H74" t="s">
        <v>27</v>
      </c>
      <c r="I74" t="s">
        <v>415</v>
      </c>
      <c r="J74" t="s">
        <v>416</v>
      </c>
      <c r="K74" t="s">
        <v>417</v>
      </c>
      <c r="L74" t="s">
        <v>418</v>
      </c>
      <c r="M74" t="s">
        <v>24</v>
      </c>
      <c r="N74" t="s">
        <v>417</v>
      </c>
      <c r="O74">
        <f t="shared" si="6"/>
        <v>96</v>
      </c>
      <c r="Q74">
        <f t="shared" si="7"/>
        <v>41</v>
      </c>
      <c r="R74">
        <f t="shared" si="8"/>
        <v>8</v>
      </c>
      <c r="S74">
        <f t="shared" si="9"/>
        <v>8</v>
      </c>
      <c r="T74">
        <f t="shared" si="10"/>
        <v>8</v>
      </c>
      <c r="U74">
        <f t="shared" si="11"/>
        <v>9</v>
      </c>
    </row>
    <row r="75" spans="3:21" x14ac:dyDescent="0.3">
      <c r="C75" t="s">
        <v>14</v>
      </c>
      <c r="D75" t="s">
        <v>108</v>
      </c>
      <c r="E75" t="s">
        <v>109</v>
      </c>
      <c r="F75" t="s">
        <v>419</v>
      </c>
      <c r="G75" t="s">
        <v>18</v>
      </c>
      <c r="H75" t="s">
        <v>35</v>
      </c>
      <c r="I75" t="s">
        <v>420</v>
      </c>
      <c r="J75" t="s">
        <v>421</v>
      </c>
      <c r="K75" t="s">
        <v>422</v>
      </c>
      <c r="L75" t="s">
        <v>423</v>
      </c>
      <c r="M75" t="s">
        <v>32</v>
      </c>
      <c r="N75" t="s">
        <v>421</v>
      </c>
      <c r="O75">
        <f t="shared" si="6"/>
        <v>87</v>
      </c>
      <c r="Q75">
        <f t="shared" si="7"/>
        <v>41</v>
      </c>
      <c r="R75">
        <f t="shared" si="8"/>
        <v>6</v>
      </c>
      <c r="S75">
        <f t="shared" si="9"/>
        <v>7</v>
      </c>
      <c r="T75">
        <f t="shared" si="10"/>
        <v>7</v>
      </c>
      <c r="U75">
        <f t="shared" si="11"/>
        <v>6</v>
      </c>
    </row>
    <row r="76" spans="3:21" x14ac:dyDescent="0.3">
      <c r="C76" t="s">
        <v>14</v>
      </c>
      <c r="D76" t="s">
        <v>121</v>
      </c>
      <c r="E76" t="s">
        <v>109</v>
      </c>
      <c r="F76" t="s">
        <v>424</v>
      </c>
      <c r="G76" t="s">
        <v>18</v>
      </c>
      <c r="H76" t="s">
        <v>41</v>
      </c>
      <c r="I76" t="s">
        <v>425</v>
      </c>
      <c r="J76" t="s">
        <v>426</v>
      </c>
      <c r="K76" t="s">
        <v>427</v>
      </c>
      <c r="L76" t="s">
        <v>428</v>
      </c>
      <c r="M76" t="s">
        <v>46</v>
      </c>
      <c r="N76" t="s">
        <v>428</v>
      </c>
      <c r="O76">
        <f t="shared" si="6"/>
        <v>100</v>
      </c>
      <c r="Q76">
        <f t="shared" si="7"/>
        <v>44</v>
      </c>
      <c r="R76">
        <f t="shared" si="8"/>
        <v>9</v>
      </c>
      <c r="S76">
        <f t="shared" si="9"/>
        <v>8</v>
      </c>
      <c r="T76">
        <f t="shared" si="10"/>
        <v>7</v>
      </c>
      <c r="U76">
        <f t="shared" si="11"/>
        <v>9</v>
      </c>
    </row>
    <row r="77" spans="3:21" x14ac:dyDescent="0.3">
      <c r="C77" t="s">
        <v>14</v>
      </c>
      <c r="D77" t="s">
        <v>121</v>
      </c>
      <c r="E77" t="s">
        <v>109</v>
      </c>
      <c r="F77" t="s">
        <v>429</v>
      </c>
      <c r="G77" t="s">
        <v>18</v>
      </c>
      <c r="H77" t="s">
        <v>88</v>
      </c>
      <c r="I77" t="s">
        <v>430</v>
      </c>
      <c r="J77" t="s">
        <v>431</v>
      </c>
      <c r="K77" t="s">
        <v>432</v>
      </c>
      <c r="L77" t="s">
        <v>433</v>
      </c>
      <c r="M77" t="s">
        <v>24</v>
      </c>
      <c r="N77" t="s">
        <v>432</v>
      </c>
      <c r="O77">
        <f t="shared" si="6"/>
        <v>85</v>
      </c>
      <c r="Q77">
        <f t="shared" si="7"/>
        <v>38</v>
      </c>
      <c r="R77">
        <f t="shared" si="8"/>
        <v>6</v>
      </c>
      <c r="S77">
        <f t="shared" si="9"/>
        <v>6</v>
      </c>
      <c r="T77">
        <f t="shared" si="10"/>
        <v>8</v>
      </c>
      <c r="U77">
        <f t="shared" si="11"/>
        <v>7</v>
      </c>
    </row>
    <row r="78" spans="3:21" x14ac:dyDescent="0.3">
      <c r="C78" t="s">
        <v>14</v>
      </c>
      <c r="D78" t="s">
        <v>115</v>
      </c>
      <c r="E78" t="s">
        <v>109</v>
      </c>
      <c r="F78" t="s">
        <v>434</v>
      </c>
      <c r="G78" t="s">
        <v>18</v>
      </c>
      <c r="H78" t="s">
        <v>35</v>
      </c>
      <c r="I78" t="s">
        <v>435</v>
      </c>
      <c r="J78" t="s">
        <v>436</v>
      </c>
      <c r="K78" t="s">
        <v>437</v>
      </c>
      <c r="L78" t="s">
        <v>438</v>
      </c>
      <c r="M78" t="s">
        <v>52</v>
      </c>
      <c r="N78" t="s">
        <v>435</v>
      </c>
      <c r="O78">
        <f t="shared" si="6"/>
        <v>85</v>
      </c>
      <c r="Q78">
        <f t="shared" si="7"/>
        <v>38</v>
      </c>
      <c r="R78">
        <f t="shared" si="8"/>
        <v>7</v>
      </c>
      <c r="S78">
        <f t="shared" si="9"/>
        <v>6</v>
      </c>
      <c r="T78">
        <f t="shared" si="10"/>
        <v>7</v>
      </c>
      <c r="U78">
        <f t="shared" si="11"/>
        <v>7</v>
      </c>
    </row>
    <row r="79" spans="3:21" x14ac:dyDescent="0.3">
      <c r="C79" t="s">
        <v>142</v>
      </c>
      <c r="D79" t="s">
        <v>439</v>
      </c>
      <c r="E79" t="s">
        <v>144</v>
      </c>
      <c r="F79" t="s">
        <v>440</v>
      </c>
      <c r="G79" t="s">
        <v>18</v>
      </c>
      <c r="H79" t="s">
        <v>35</v>
      </c>
      <c r="I79" t="s">
        <v>441</v>
      </c>
      <c r="J79" t="s">
        <v>442</v>
      </c>
      <c r="K79" t="s">
        <v>443</v>
      </c>
      <c r="L79" t="s">
        <v>444</v>
      </c>
      <c r="M79" t="s">
        <v>46</v>
      </c>
      <c r="N79" t="s">
        <v>444</v>
      </c>
      <c r="O79">
        <f t="shared" si="6"/>
        <v>85</v>
      </c>
      <c r="Q79">
        <f t="shared" si="7"/>
        <v>36</v>
      </c>
      <c r="R79">
        <f t="shared" si="8"/>
        <v>7</v>
      </c>
      <c r="S79">
        <f t="shared" si="9"/>
        <v>7</v>
      </c>
      <c r="T79">
        <f t="shared" si="10"/>
        <v>8</v>
      </c>
      <c r="U79">
        <f t="shared" si="11"/>
        <v>7</v>
      </c>
    </row>
    <row r="80" spans="3:21" x14ac:dyDescent="0.3">
      <c r="C80" t="s">
        <v>142</v>
      </c>
      <c r="D80" t="s">
        <v>445</v>
      </c>
      <c r="E80" t="s">
        <v>144</v>
      </c>
      <c r="F80" t="s">
        <v>446</v>
      </c>
      <c r="G80" t="s">
        <v>18</v>
      </c>
      <c r="H80" t="s">
        <v>27</v>
      </c>
      <c r="I80" t="s">
        <v>447</v>
      </c>
      <c r="J80" t="s">
        <v>448</v>
      </c>
      <c r="K80" t="s">
        <v>449</v>
      </c>
      <c r="L80" t="s">
        <v>450</v>
      </c>
      <c r="M80" t="s">
        <v>32</v>
      </c>
      <c r="N80" t="s">
        <v>448</v>
      </c>
      <c r="O80">
        <f t="shared" si="6"/>
        <v>70</v>
      </c>
      <c r="Q80">
        <f t="shared" si="7"/>
        <v>18</v>
      </c>
      <c r="R80">
        <f t="shared" si="8"/>
        <v>8</v>
      </c>
      <c r="S80">
        <f t="shared" si="9"/>
        <v>9</v>
      </c>
      <c r="T80">
        <f t="shared" si="10"/>
        <v>9</v>
      </c>
      <c r="U80">
        <f t="shared" si="11"/>
        <v>10</v>
      </c>
    </row>
    <row r="81" spans="3:21" x14ac:dyDescent="0.3">
      <c r="C81" t="s">
        <v>142</v>
      </c>
      <c r="D81" t="s">
        <v>451</v>
      </c>
      <c r="E81" t="s">
        <v>144</v>
      </c>
      <c r="F81" t="s">
        <v>452</v>
      </c>
      <c r="G81" t="s">
        <v>18</v>
      </c>
      <c r="H81" t="s">
        <v>19</v>
      </c>
      <c r="I81" t="s">
        <v>453</v>
      </c>
      <c r="J81" t="s">
        <v>454</v>
      </c>
      <c r="K81" t="s">
        <v>455</v>
      </c>
      <c r="L81" t="s">
        <v>456</v>
      </c>
      <c r="M81" t="s">
        <v>52</v>
      </c>
      <c r="N81" t="s">
        <v>453</v>
      </c>
      <c r="O81">
        <f t="shared" si="6"/>
        <v>70</v>
      </c>
      <c r="Q81">
        <f t="shared" si="7"/>
        <v>19</v>
      </c>
      <c r="R81">
        <f t="shared" si="8"/>
        <v>7</v>
      </c>
      <c r="S81">
        <f t="shared" si="9"/>
        <v>10</v>
      </c>
      <c r="T81">
        <f t="shared" si="10"/>
        <v>9</v>
      </c>
      <c r="U81">
        <f t="shared" si="11"/>
        <v>9</v>
      </c>
    </row>
    <row r="82" spans="3:21" x14ac:dyDescent="0.3">
      <c r="C82" t="s">
        <v>142</v>
      </c>
      <c r="D82" t="s">
        <v>451</v>
      </c>
      <c r="E82" t="s">
        <v>144</v>
      </c>
      <c r="F82" t="s">
        <v>457</v>
      </c>
      <c r="G82" t="s">
        <v>18</v>
      </c>
      <c r="H82" t="s">
        <v>41</v>
      </c>
      <c r="I82" t="s">
        <v>458</v>
      </c>
      <c r="J82" t="s">
        <v>459</v>
      </c>
      <c r="K82" t="s">
        <v>460</v>
      </c>
      <c r="L82" t="s">
        <v>461</v>
      </c>
      <c r="M82" t="s">
        <v>46</v>
      </c>
      <c r="N82" t="s">
        <v>461</v>
      </c>
      <c r="O82">
        <f t="shared" si="6"/>
        <v>82</v>
      </c>
      <c r="Q82">
        <f t="shared" si="7"/>
        <v>21</v>
      </c>
      <c r="R82">
        <f t="shared" si="8"/>
        <v>11</v>
      </c>
      <c r="S82">
        <f t="shared" si="9"/>
        <v>11</v>
      </c>
      <c r="T82">
        <f t="shared" si="10"/>
        <v>9</v>
      </c>
      <c r="U82">
        <f t="shared" si="11"/>
        <v>11</v>
      </c>
    </row>
    <row r="83" spans="3:21" x14ac:dyDescent="0.3">
      <c r="C83" t="s">
        <v>142</v>
      </c>
      <c r="D83" t="s">
        <v>439</v>
      </c>
      <c r="E83" t="s">
        <v>144</v>
      </c>
      <c r="F83" t="s">
        <v>462</v>
      </c>
      <c r="G83" t="s">
        <v>18</v>
      </c>
      <c r="H83" t="s">
        <v>41</v>
      </c>
      <c r="I83" t="s">
        <v>463</v>
      </c>
      <c r="J83" t="s">
        <v>464</v>
      </c>
      <c r="K83" t="s">
        <v>465</v>
      </c>
      <c r="L83" t="s">
        <v>466</v>
      </c>
      <c r="M83" t="s">
        <v>32</v>
      </c>
      <c r="N83" t="s">
        <v>464</v>
      </c>
      <c r="O83">
        <f t="shared" si="6"/>
        <v>86</v>
      </c>
      <c r="Q83">
        <f t="shared" si="7"/>
        <v>28</v>
      </c>
      <c r="R83">
        <f t="shared" si="8"/>
        <v>9</v>
      </c>
      <c r="S83">
        <f t="shared" si="9"/>
        <v>10</v>
      </c>
      <c r="T83">
        <f t="shared" si="10"/>
        <v>10</v>
      </c>
      <c r="U83">
        <f t="shared" si="11"/>
        <v>9</v>
      </c>
    </row>
    <row r="84" spans="3:21" x14ac:dyDescent="0.3">
      <c r="C84" t="s">
        <v>142</v>
      </c>
      <c r="D84" t="s">
        <v>445</v>
      </c>
      <c r="E84" t="s">
        <v>144</v>
      </c>
      <c r="F84" t="s">
        <v>467</v>
      </c>
      <c r="G84" t="s">
        <v>18</v>
      </c>
      <c r="H84" t="s">
        <v>35</v>
      </c>
      <c r="I84" t="s">
        <v>468</v>
      </c>
      <c r="J84" t="s">
        <v>469</v>
      </c>
      <c r="K84" t="s">
        <v>470</v>
      </c>
      <c r="L84" t="s">
        <v>471</v>
      </c>
      <c r="M84" t="s">
        <v>24</v>
      </c>
      <c r="N84" t="s">
        <v>470</v>
      </c>
      <c r="O84">
        <f t="shared" si="6"/>
        <v>73</v>
      </c>
      <c r="Q84">
        <f t="shared" si="7"/>
        <v>25</v>
      </c>
      <c r="R84">
        <f t="shared" si="8"/>
        <v>9</v>
      </c>
      <c r="S84">
        <f t="shared" si="9"/>
        <v>8</v>
      </c>
      <c r="T84">
        <f t="shared" si="10"/>
        <v>7</v>
      </c>
      <c r="U84">
        <f t="shared" si="11"/>
        <v>7</v>
      </c>
    </row>
    <row r="85" spans="3:21" x14ac:dyDescent="0.3">
      <c r="C85" t="s">
        <v>142</v>
      </c>
      <c r="D85" t="s">
        <v>192</v>
      </c>
      <c r="E85" t="s">
        <v>193</v>
      </c>
      <c r="F85" t="s">
        <v>472</v>
      </c>
      <c r="G85" t="s">
        <v>18</v>
      </c>
      <c r="H85" t="s">
        <v>35</v>
      </c>
      <c r="I85" t="s">
        <v>473</v>
      </c>
      <c r="J85" t="s">
        <v>474</v>
      </c>
      <c r="K85" t="s">
        <v>475</v>
      </c>
      <c r="L85" t="s">
        <v>476</v>
      </c>
      <c r="M85" t="s">
        <v>32</v>
      </c>
      <c r="N85" t="s">
        <v>474</v>
      </c>
      <c r="O85">
        <f t="shared" si="6"/>
        <v>75</v>
      </c>
      <c r="Q85">
        <f t="shared" si="7"/>
        <v>38</v>
      </c>
      <c r="R85">
        <f t="shared" si="8"/>
        <v>5</v>
      </c>
      <c r="S85">
        <f t="shared" si="9"/>
        <v>5</v>
      </c>
      <c r="T85">
        <f t="shared" si="10"/>
        <v>5</v>
      </c>
      <c r="U85">
        <f t="shared" si="11"/>
        <v>5</v>
      </c>
    </row>
    <row r="86" spans="3:21" x14ac:dyDescent="0.3">
      <c r="C86" t="s">
        <v>142</v>
      </c>
      <c r="D86" t="s">
        <v>220</v>
      </c>
      <c r="E86" t="s">
        <v>193</v>
      </c>
      <c r="F86" t="s">
        <v>477</v>
      </c>
      <c r="G86" t="s">
        <v>18</v>
      </c>
      <c r="H86" t="s">
        <v>41</v>
      </c>
      <c r="I86" t="s">
        <v>478</v>
      </c>
      <c r="J86" t="s">
        <v>479</v>
      </c>
      <c r="K86" t="s">
        <v>480</v>
      </c>
      <c r="L86" t="s">
        <v>481</v>
      </c>
      <c r="M86" t="s">
        <v>24</v>
      </c>
      <c r="N86" t="s">
        <v>480</v>
      </c>
      <c r="O86">
        <f t="shared" si="6"/>
        <v>83</v>
      </c>
      <c r="Q86">
        <f t="shared" si="7"/>
        <v>28</v>
      </c>
      <c r="R86">
        <f t="shared" si="8"/>
        <v>9</v>
      </c>
      <c r="S86">
        <f t="shared" si="9"/>
        <v>10</v>
      </c>
      <c r="T86">
        <f t="shared" si="10"/>
        <v>9</v>
      </c>
      <c r="U86">
        <f t="shared" si="11"/>
        <v>8</v>
      </c>
    </row>
    <row r="87" spans="3:21" x14ac:dyDescent="0.3">
      <c r="C87" t="s">
        <v>142</v>
      </c>
      <c r="D87" t="s">
        <v>220</v>
      </c>
      <c r="E87" t="s">
        <v>193</v>
      </c>
      <c r="F87" t="s">
        <v>482</v>
      </c>
      <c r="G87" t="s">
        <v>18</v>
      </c>
      <c r="H87" t="s">
        <v>88</v>
      </c>
      <c r="I87" t="s">
        <v>483</v>
      </c>
      <c r="J87" t="s">
        <v>484</v>
      </c>
      <c r="K87" t="s">
        <v>485</v>
      </c>
      <c r="L87" t="s">
        <v>486</v>
      </c>
      <c r="M87" t="s">
        <v>52</v>
      </c>
      <c r="N87" t="s">
        <v>483</v>
      </c>
      <c r="O87">
        <f t="shared" si="6"/>
        <v>87</v>
      </c>
      <c r="Q87">
        <f t="shared" si="7"/>
        <v>38</v>
      </c>
      <c r="R87">
        <f t="shared" si="8"/>
        <v>10</v>
      </c>
      <c r="S87">
        <f t="shared" si="9"/>
        <v>6</v>
      </c>
      <c r="T87">
        <f t="shared" si="10"/>
        <v>7</v>
      </c>
      <c r="U87">
        <f t="shared" si="11"/>
        <v>6</v>
      </c>
    </row>
    <row r="88" spans="3:21" x14ac:dyDescent="0.3">
      <c r="C88" t="s">
        <v>142</v>
      </c>
      <c r="D88" t="s">
        <v>236</v>
      </c>
      <c r="E88" t="s">
        <v>237</v>
      </c>
      <c r="F88" t="s">
        <v>487</v>
      </c>
      <c r="G88" t="s">
        <v>18</v>
      </c>
      <c r="H88" t="s">
        <v>19</v>
      </c>
      <c r="I88" t="s">
        <v>488</v>
      </c>
      <c r="J88" t="s">
        <v>489</v>
      </c>
      <c r="K88" t="s">
        <v>490</v>
      </c>
      <c r="L88" t="s">
        <v>491</v>
      </c>
      <c r="M88" t="s">
        <v>24</v>
      </c>
      <c r="N88" t="s">
        <v>490</v>
      </c>
      <c r="O88">
        <f t="shared" si="6"/>
        <v>62</v>
      </c>
      <c r="Q88">
        <f t="shared" si="7"/>
        <v>32</v>
      </c>
      <c r="R88">
        <f t="shared" si="8"/>
        <v>4</v>
      </c>
      <c r="S88">
        <f t="shared" si="9"/>
        <v>4</v>
      </c>
      <c r="T88">
        <f t="shared" si="10"/>
        <v>4</v>
      </c>
      <c r="U88">
        <f t="shared" si="11"/>
        <v>4</v>
      </c>
    </row>
    <row r="89" spans="3:21" x14ac:dyDescent="0.3">
      <c r="C89" t="s">
        <v>142</v>
      </c>
      <c r="D89" t="s">
        <v>243</v>
      </c>
      <c r="E89" t="s">
        <v>237</v>
      </c>
      <c r="F89" t="s">
        <v>492</v>
      </c>
      <c r="G89" t="s">
        <v>18</v>
      </c>
      <c r="H89" t="s">
        <v>35</v>
      </c>
      <c r="I89" t="s">
        <v>493</v>
      </c>
      <c r="J89" t="s">
        <v>494</v>
      </c>
      <c r="K89" t="s">
        <v>495</v>
      </c>
      <c r="L89" t="s">
        <v>496</v>
      </c>
      <c r="M89" t="s">
        <v>52</v>
      </c>
      <c r="N89" t="s">
        <v>493</v>
      </c>
      <c r="O89">
        <f t="shared" si="6"/>
        <v>99</v>
      </c>
      <c r="Q89">
        <f t="shared" si="7"/>
        <v>48</v>
      </c>
      <c r="R89">
        <f t="shared" si="8"/>
        <v>8</v>
      </c>
      <c r="S89">
        <f t="shared" si="9"/>
        <v>8</v>
      </c>
      <c r="T89">
        <f t="shared" si="10"/>
        <v>6</v>
      </c>
      <c r="U89">
        <f t="shared" si="11"/>
        <v>6</v>
      </c>
    </row>
    <row r="90" spans="3:21" x14ac:dyDescent="0.3">
      <c r="C90" t="s">
        <v>142</v>
      </c>
      <c r="D90" t="s">
        <v>236</v>
      </c>
      <c r="E90" t="s">
        <v>237</v>
      </c>
      <c r="F90" t="s">
        <v>497</v>
      </c>
      <c r="G90" t="s">
        <v>18</v>
      </c>
      <c r="H90" t="s">
        <v>41</v>
      </c>
      <c r="I90" t="s">
        <v>498</v>
      </c>
      <c r="J90" t="s">
        <v>499</v>
      </c>
      <c r="K90" t="s">
        <v>500</v>
      </c>
      <c r="L90" t="s">
        <v>501</v>
      </c>
      <c r="M90" t="s">
        <v>32</v>
      </c>
      <c r="N90" t="s">
        <v>499</v>
      </c>
      <c r="O90">
        <f t="shared" si="6"/>
        <v>98</v>
      </c>
      <c r="Q90">
        <f t="shared" si="7"/>
        <v>44</v>
      </c>
      <c r="R90">
        <f t="shared" si="8"/>
        <v>8</v>
      </c>
      <c r="S90">
        <f t="shared" si="9"/>
        <v>8</v>
      </c>
      <c r="T90">
        <f t="shared" si="10"/>
        <v>7</v>
      </c>
      <c r="U90">
        <f t="shared" si="11"/>
        <v>8</v>
      </c>
    </row>
    <row r="91" spans="3:21" x14ac:dyDescent="0.3">
      <c r="C91" t="s">
        <v>142</v>
      </c>
      <c r="D91" t="s">
        <v>285</v>
      </c>
      <c r="E91" t="s">
        <v>286</v>
      </c>
      <c r="F91" t="s">
        <v>502</v>
      </c>
      <c r="G91" t="s">
        <v>18</v>
      </c>
      <c r="H91" t="s">
        <v>19</v>
      </c>
      <c r="I91" t="s">
        <v>503</v>
      </c>
      <c r="J91" t="s">
        <v>504</v>
      </c>
      <c r="K91" t="s">
        <v>505</v>
      </c>
      <c r="L91" t="s">
        <v>506</v>
      </c>
      <c r="M91" t="s">
        <v>52</v>
      </c>
      <c r="N91" t="s">
        <v>503</v>
      </c>
      <c r="O91">
        <f t="shared" si="6"/>
        <v>46</v>
      </c>
      <c r="Q91">
        <f t="shared" si="7"/>
        <v>19</v>
      </c>
      <c r="R91">
        <f t="shared" si="8"/>
        <v>4</v>
      </c>
      <c r="S91">
        <f t="shared" si="9"/>
        <v>4</v>
      </c>
      <c r="T91">
        <f t="shared" si="10"/>
        <v>4</v>
      </c>
      <c r="U91">
        <f t="shared" si="11"/>
        <v>4</v>
      </c>
    </row>
    <row r="92" spans="3:21" x14ac:dyDescent="0.3">
      <c r="C92" t="s">
        <v>142</v>
      </c>
      <c r="D92" t="s">
        <v>285</v>
      </c>
      <c r="E92" t="s">
        <v>286</v>
      </c>
      <c r="F92" t="s">
        <v>507</v>
      </c>
      <c r="G92" t="s">
        <v>18</v>
      </c>
      <c r="H92" t="s">
        <v>27</v>
      </c>
      <c r="I92" t="s">
        <v>508</v>
      </c>
      <c r="J92" t="s">
        <v>509</v>
      </c>
      <c r="K92" t="s">
        <v>510</v>
      </c>
      <c r="L92" t="s">
        <v>511</v>
      </c>
      <c r="M92" t="s">
        <v>32</v>
      </c>
      <c r="N92" t="s">
        <v>509</v>
      </c>
      <c r="O92">
        <f t="shared" si="6"/>
        <v>59</v>
      </c>
      <c r="Q92">
        <f t="shared" si="7"/>
        <v>13</v>
      </c>
      <c r="R92">
        <f t="shared" si="8"/>
        <v>8</v>
      </c>
      <c r="S92">
        <f t="shared" si="9"/>
        <v>9</v>
      </c>
      <c r="T92">
        <f t="shared" si="10"/>
        <v>8</v>
      </c>
      <c r="U92">
        <f t="shared" si="11"/>
        <v>7</v>
      </c>
    </row>
    <row r="93" spans="3:21" x14ac:dyDescent="0.3">
      <c r="C93" t="s">
        <v>142</v>
      </c>
      <c r="D93" t="s">
        <v>285</v>
      </c>
      <c r="E93" t="s">
        <v>286</v>
      </c>
      <c r="F93" t="s">
        <v>512</v>
      </c>
      <c r="G93" t="s">
        <v>18</v>
      </c>
      <c r="H93" t="s">
        <v>35</v>
      </c>
      <c r="I93" t="s">
        <v>513</v>
      </c>
      <c r="J93" t="s">
        <v>514</v>
      </c>
      <c r="K93" t="s">
        <v>515</v>
      </c>
      <c r="L93" t="s">
        <v>516</v>
      </c>
      <c r="M93" t="s">
        <v>24</v>
      </c>
      <c r="N93" t="s">
        <v>515</v>
      </c>
      <c r="O93">
        <f t="shared" si="6"/>
        <v>53</v>
      </c>
      <c r="Q93">
        <f t="shared" si="7"/>
        <v>20</v>
      </c>
      <c r="R93">
        <f t="shared" si="8"/>
        <v>7</v>
      </c>
      <c r="S93">
        <f t="shared" si="9"/>
        <v>6</v>
      </c>
      <c r="T93">
        <f t="shared" si="10"/>
        <v>4</v>
      </c>
      <c r="U93">
        <f t="shared" si="11"/>
        <v>4</v>
      </c>
    </row>
    <row r="94" spans="3:21" x14ac:dyDescent="0.3">
      <c r="C94" t="s">
        <v>142</v>
      </c>
      <c r="D94" t="s">
        <v>285</v>
      </c>
      <c r="E94" t="s">
        <v>286</v>
      </c>
      <c r="F94" t="s">
        <v>517</v>
      </c>
      <c r="G94" t="s">
        <v>18</v>
      </c>
      <c r="H94" t="s">
        <v>41</v>
      </c>
      <c r="I94" t="s">
        <v>518</v>
      </c>
      <c r="J94" t="s">
        <v>519</v>
      </c>
      <c r="K94" t="s">
        <v>520</v>
      </c>
      <c r="L94" t="s">
        <v>521</v>
      </c>
      <c r="M94" t="s">
        <v>46</v>
      </c>
      <c r="N94" t="s">
        <v>521</v>
      </c>
      <c r="O94">
        <f t="shared" si="6"/>
        <v>61</v>
      </c>
      <c r="Q94">
        <f t="shared" si="7"/>
        <v>21</v>
      </c>
      <c r="R94">
        <f t="shared" si="8"/>
        <v>6</v>
      </c>
      <c r="S94">
        <f t="shared" si="9"/>
        <v>6</v>
      </c>
      <c r="T94">
        <f t="shared" si="10"/>
        <v>7</v>
      </c>
      <c r="U94">
        <f t="shared" si="11"/>
        <v>7</v>
      </c>
    </row>
    <row r="95" spans="3:21" x14ac:dyDescent="0.3">
      <c r="C95" t="s">
        <v>142</v>
      </c>
      <c r="D95" t="s">
        <v>285</v>
      </c>
      <c r="E95" t="s">
        <v>286</v>
      </c>
      <c r="F95" t="s">
        <v>522</v>
      </c>
      <c r="G95" t="s">
        <v>18</v>
      </c>
      <c r="H95" t="s">
        <v>35</v>
      </c>
      <c r="I95" t="s">
        <v>523</v>
      </c>
      <c r="J95" t="s">
        <v>524</v>
      </c>
      <c r="K95" t="s">
        <v>525</v>
      </c>
      <c r="L95" t="s">
        <v>526</v>
      </c>
      <c r="M95" t="s">
        <v>24</v>
      </c>
      <c r="N95" t="s">
        <v>525</v>
      </c>
      <c r="O95">
        <f t="shared" si="6"/>
        <v>44</v>
      </c>
      <c r="Q95">
        <f t="shared" si="7"/>
        <v>18</v>
      </c>
      <c r="R95">
        <f t="shared" si="8"/>
        <v>5</v>
      </c>
      <c r="S95">
        <f t="shared" si="9"/>
        <v>3</v>
      </c>
      <c r="T95">
        <f t="shared" si="10"/>
        <v>6</v>
      </c>
      <c r="U95">
        <f t="shared" si="11"/>
        <v>2</v>
      </c>
    </row>
    <row r="96" spans="3:21" x14ac:dyDescent="0.3">
      <c r="C96" t="s">
        <v>142</v>
      </c>
      <c r="D96" t="s">
        <v>285</v>
      </c>
      <c r="E96" t="s">
        <v>286</v>
      </c>
      <c r="F96" t="s">
        <v>527</v>
      </c>
      <c r="G96" t="s">
        <v>18</v>
      </c>
      <c r="H96" t="s">
        <v>27</v>
      </c>
      <c r="I96" t="s">
        <v>528</v>
      </c>
      <c r="J96" t="s">
        <v>529</v>
      </c>
      <c r="K96" t="s">
        <v>530</v>
      </c>
      <c r="L96" t="s">
        <v>531</v>
      </c>
      <c r="M96" t="s">
        <v>52</v>
      </c>
      <c r="N96" t="s">
        <v>528</v>
      </c>
      <c r="O96">
        <f t="shared" si="6"/>
        <v>40</v>
      </c>
      <c r="Q96">
        <f t="shared" si="7"/>
        <v>12</v>
      </c>
      <c r="R96">
        <f t="shared" si="8"/>
        <v>5</v>
      </c>
      <c r="S96">
        <f t="shared" si="9"/>
        <v>6</v>
      </c>
      <c r="T96">
        <f t="shared" si="10"/>
        <v>3</v>
      </c>
      <c r="U96">
        <f t="shared" si="11"/>
        <v>5</v>
      </c>
    </row>
    <row r="97" spans="3:21" x14ac:dyDescent="0.3">
      <c r="C97" t="s">
        <v>142</v>
      </c>
      <c r="D97" t="s">
        <v>328</v>
      </c>
      <c r="E97" t="s">
        <v>329</v>
      </c>
      <c r="F97" t="s">
        <v>532</v>
      </c>
      <c r="G97" t="s">
        <v>18</v>
      </c>
      <c r="H97" t="s">
        <v>19</v>
      </c>
      <c r="I97" t="s">
        <v>533</v>
      </c>
      <c r="J97" t="s">
        <v>534</v>
      </c>
      <c r="K97" t="s">
        <v>535</v>
      </c>
      <c r="L97" t="s">
        <v>536</v>
      </c>
      <c r="M97" t="s">
        <v>24</v>
      </c>
      <c r="N97" t="s">
        <v>535</v>
      </c>
      <c r="O97">
        <f t="shared" si="6"/>
        <v>52</v>
      </c>
      <c r="Q97">
        <f t="shared" si="7"/>
        <v>23</v>
      </c>
      <c r="R97">
        <f t="shared" si="8"/>
        <v>5</v>
      </c>
      <c r="S97">
        <f t="shared" si="9"/>
        <v>4</v>
      </c>
      <c r="T97">
        <f t="shared" si="10"/>
        <v>4</v>
      </c>
      <c r="U97">
        <f t="shared" si="11"/>
        <v>4</v>
      </c>
    </row>
    <row r="98" spans="3:21" x14ac:dyDescent="0.3">
      <c r="C98" t="s">
        <v>142</v>
      </c>
      <c r="D98" t="s">
        <v>328</v>
      </c>
      <c r="E98" t="s">
        <v>329</v>
      </c>
      <c r="F98" t="s">
        <v>537</v>
      </c>
      <c r="G98" t="s">
        <v>18</v>
      </c>
      <c r="H98" t="s">
        <v>27</v>
      </c>
      <c r="I98" t="s">
        <v>538</v>
      </c>
      <c r="J98" t="s">
        <v>539</v>
      </c>
      <c r="K98" t="s">
        <v>540</v>
      </c>
      <c r="L98" t="s">
        <v>541</v>
      </c>
      <c r="M98" t="s">
        <v>46</v>
      </c>
      <c r="N98" t="s">
        <v>541</v>
      </c>
      <c r="O98">
        <f t="shared" si="6"/>
        <v>79</v>
      </c>
      <c r="Q98">
        <f t="shared" si="7"/>
        <v>24</v>
      </c>
      <c r="R98">
        <f t="shared" si="8"/>
        <v>9</v>
      </c>
      <c r="S98">
        <f t="shared" si="9"/>
        <v>11</v>
      </c>
      <c r="T98">
        <f t="shared" si="10"/>
        <v>8</v>
      </c>
      <c r="U98">
        <f t="shared" si="11"/>
        <v>9</v>
      </c>
    </row>
    <row r="99" spans="3:21" x14ac:dyDescent="0.3">
      <c r="C99" t="s">
        <v>142</v>
      </c>
      <c r="D99" t="s">
        <v>340</v>
      </c>
      <c r="E99" t="s">
        <v>329</v>
      </c>
      <c r="F99" t="s">
        <v>542</v>
      </c>
      <c r="G99" t="s">
        <v>18</v>
      </c>
      <c r="H99" t="s">
        <v>35</v>
      </c>
      <c r="I99" t="s">
        <v>543</v>
      </c>
      <c r="J99" t="s">
        <v>544</v>
      </c>
      <c r="K99" t="s">
        <v>545</v>
      </c>
      <c r="L99" t="s">
        <v>546</v>
      </c>
      <c r="M99" t="s">
        <v>46</v>
      </c>
      <c r="N99" t="s">
        <v>546</v>
      </c>
      <c r="O99">
        <f t="shared" si="6"/>
        <v>94</v>
      </c>
      <c r="Q99">
        <f t="shared" si="7"/>
        <v>29</v>
      </c>
      <c r="R99">
        <f t="shared" si="8"/>
        <v>11</v>
      </c>
      <c r="S99">
        <f t="shared" si="9"/>
        <v>9</v>
      </c>
      <c r="T99">
        <f t="shared" si="10"/>
        <v>12</v>
      </c>
      <c r="U99">
        <f t="shared" si="11"/>
        <v>11</v>
      </c>
    </row>
    <row r="100" spans="3:21" x14ac:dyDescent="0.3">
      <c r="C100" t="s">
        <v>142</v>
      </c>
      <c r="D100" t="s">
        <v>340</v>
      </c>
      <c r="E100" t="s">
        <v>329</v>
      </c>
      <c r="F100" t="s">
        <v>547</v>
      </c>
      <c r="G100" t="s">
        <v>18</v>
      </c>
      <c r="H100" t="s">
        <v>41</v>
      </c>
      <c r="I100" t="s">
        <v>548</v>
      </c>
      <c r="J100" t="s">
        <v>549</v>
      </c>
      <c r="K100" t="s">
        <v>550</v>
      </c>
      <c r="L100" t="s">
        <v>551</v>
      </c>
      <c r="M100" t="s">
        <v>24</v>
      </c>
      <c r="N100" t="s">
        <v>550</v>
      </c>
      <c r="O100">
        <f t="shared" si="6"/>
        <v>85</v>
      </c>
      <c r="Q100">
        <f t="shared" si="7"/>
        <v>26</v>
      </c>
      <c r="R100">
        <f t="shared" si="8"/>
        <v>10</v>
      </c>
      <c r="S100">
        <f t="shared" si="9"/>
        <v>7</v>
      </c>
      <c r="T100">
        <f t="shared" si="10"/>
        <v>11</v>
      </c>
      <c r="U100">
        <f t="shared" si="11"/>
        <v>11</v>
      </c>
    </row>
    <row r="101" spans="3:21" x14ac:dyDescent="0.3">
      <c r="C101" t="s">
        <v>142</v>
      </c>
      <c r="D101" t="s">
        <v>340</v>
      </c>
      <c r="E101" t="s">
        <v>329</v>
      </c>
      <c r="F101" t="s">
        <v>552</v>
      </c>
      <c r="G101" t="s">
        <v>18</v>
      </c>
      <c r="H101" t="s">
        <v>35</v>
      </c>
      <c r="I101" t="s">
        <v>553</v>
      </c>
      <c r="J101" t="s">
        <v>554</v>
      </c>
      <c r="K101" t="s">
        <v>555</v>
      </c>
      <c r="L101" t="s">
        <v>556</v>
      </c>
      <c r="M101" t="s">
        <v>32</v>
      </c>
      <c r="N101" t="s">
        <v>554</v>
      </c>
      <c r="O101">
        <f t="shared" si="6"/>
        <v>85</v>
      </c>
      <c r="Q101">
        <f t="shared" si="7"/>
        <v>26</v>
      </c>
      <c r="R101">
        <f t="shared" si="8"/>
        <v>9</v>
      </c>
      <c r="S101">
        <f t="shared" si="9"/>
        <v>9</v>
      </c>
      <c r="T101">
        <f t="shared" si="10"/>
        <v>11</v>
      </c>
      <c r="U101">
        <f t="shared" si="11"/>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Quiz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2026-07-02T13:57:35Z</dcterms:created>
  <dcterms:modified xsi:type="dcterms:W3CDTF">2026-07-03T02:49:40Z</dcterms:modified>
</cp:coreProperties>
</file>